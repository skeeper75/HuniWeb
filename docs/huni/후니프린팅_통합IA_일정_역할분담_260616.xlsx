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innojini/Dev/HuniWeb/docs/huni/"/>
    </mc:Choice>
  </mc:AlternateContent>
  <xr:revisionPtr revIDLastSave="0" documentId="13_ncr:1_{7601F9A2-88F6-FD48-A609-3293719ADE5F}" xr6:coauthVersionLast="47" xr6:coauthVersionMax="47" xr10:uidLastSave="{00000000-0000-0000-0000-000000000000}"/>
  <bookViews>
    <workbookView xWindow="0" yWindow="600" windowWidth="51200" windowHeight="28200" tabRatio="500" activeTab="1" xr2:uid="{00000000-000D-0000-FFFF-FFFF00000000}"/>
  </bookViews>
  <sheets>
    <sheet name="00_읽는법" sheetId="1" r:id="rId1"/>
    <sheet name="01_역할정의" sheetId="2" r:id="rId2"/>
    <sheet name="02_IA마스터" sheetId="3" r:id="rId3"/>
    <sheet name="03_페이즈일정" sheetId="4" r:id="rId4"/>
    <sheet name="04_진행현황" sheetId="5" r:id="rId5"/>
  </sheets>
  <definedNames>
    <definedName name="_xlnm._FilterDatabase" localSheetId="2" hidden="1">'02_IA마스터'!$A$1:$K$145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5" l="1"/>
  <c r="B21" i="5"/>
  <c r="C20" i="5"/>
  <c r="B20" i="5"/>
  <c r="C19" i="5"/>
  <c r="B19" i="5"/>
  <c r="C18" i="5"/>
  <c r="B18" i="5"/>
  <c r="D13" i="5"/>
  <c r="C13" i="5"/>
  <c r="B13" i="5"/>
  <c r="A13" i="5"/>
  <c r="D7" i="5"/>
  <c r="C7" i="5"/>
  <c r="B7" i="5"/>
  <c r="E7" i="5" s="1"/>
  <c r="D6" i="5"/>
  <c r="C6" i="5"/>
  <c r="B6" i="5"/>
  <c r="E6" i="5" s="1"/>
  <c r="D5" i="5"/>
  <c r="C5" i="5"/>
  <c r="C8" i="5" s="1"/>
  <c r="B5" i="5"/>
  <c r="E5" i="5" s="1"/>
  <c r="D4" i="5"/>
  <c r="D8" i="5" s="1"/>
  <c r="C4" i="5"/>
  <c r="B4" i="5"/>
  <c r="B8" i="5" s="1"/>
  <c r="E4" i="5" l="1"/>
  <c r="E8" i="5" s="1"/>
</calcChain>
</file>

<file path=xl/sharedStrings.xml><?xml version="1.0" encoding="utf-8"?>
<sst xmlns="http://schemas.openxmlformats.org/spreadsheetml/2006/main" count="1383" uniqueCount="359">
  <si>
    <r>
      <rPr>
        <b/>
        <sz val="14"/>
        <color rgb="FFFFFFFF"/>
        <rFont val="Noto Sans CJK SC"/>
        <family val="2"/>
      </rPr>
      <t xml:space="preserve">이 표 읽는 법 </t>
    </r>
    <r>
      <rPr>
        <b/>
        <sz val="14"/>
        <color rgb="FFFFFFFF"/>
        <rFont val="Arial"/>
        <family val="2"/>
      </rPr>
      <t>(</t>
    </r>
    <r>
      <rPr>
        <b/>
        <sz val="14"/>
        <color rgb="FFFFFFFF"/>
        <rFont val="Noto Sans CJK SC"/>
        <family val="2"/>
      </rPr>
      <t>실무진 안내</t>
    </r>
    <r>
      <rPr>
        <b/>
        <sz val="14"/>
        <color rgb="FFFFFFFF"/>
        <rFont val="Arial"/>
        <family val="2"/>
      </rPr>
      <t>)</t>
    </r>
  </si>
  <si>
    <t>컬럼</t>
  </si>
  <si>
    <t>뜻</t>
  </si>
  <si>
    <t>값 설명</t>
  </si>
  <si>
    <t>우선순위</t>
  </si>
  <si>
    <t>언제 만드나</t>
  </si>
  <si>
    <r>
      <rPr>
        <sz val="10"/>
        <color rgb="FF1A1A1A"/>
        <rFont val="Arial"/>
        <family val="2"/>
      </rPr>
      <t>P0=</t>
    </r>
    <r>
      <rPr>
        <sz val="10"/>
        <color rgb="FF1A1A1A"/>
        <rFont val="Noto Sans CJK SC"/>
        <family val="2"/>
      </rPr>
      <t xml:space="preserve">런칭에 꼭 필요 </t>
    </r>
    <r>
      <rPr>
        <sz val="10"/>
        <color rgb="FF1A1A1A"/>
        <rFont val="Arial"/>
        <family val="2"/>
      </rPr>
      <t>· P1=</t>
    </r>
    <r>
      <rPr>
        <sz val="10"/>
        <color rgb="FF1A1A1A"/>
        <rFont val="Noto Sans CJK SC"/>
        <family val="2"/>
      </rPr>
      <t xml:space="preserve">런칭 직후 </t>
    </r>
    <r>
      <rPr>
        <sz val="10"/>
        <color rgb="FF1A1A1A"/>
        <rFont val="Arial"/>
        <family val="2"/>
      </rPr>
      <t>· P2=</t>
    </r>
    <r>
      <rPr>
        <sz val="10"/>
        <color rgb="FF1A1A1A"/>
        <rFont val="Noto Sans CJK SC"/>
        <family val="2"/>
      </rPr>
      <t>나중에</t>
    </r>
  </si>
  <si>
    <t>담당</t>
  </si>
  <si>
    <t>누가 만드나</t>
  </si>
  <si>
    <r>
      <rPr>
        <sz val="10"/>
        <color rgb="FF1A1A1A"/>
        <rFont val="Arial"/>
        <family val="2"/>
      </rPr>
      <t>PM=</t>
    </r>
    <r>
      <rPr>
        <sz val="10"/>
        <color rgb="FF1A1A1A"/>
        <rFont val="Noto Sans CJK SC"/>
        <family val="2"/>
      </rPr>
      <t>기획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정책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계약 </t>
    </r>
    <r>
      <rPr>
        <sz val="10"/>
        <color rgb="FF1A1A1A"/>
        <rFont val="Arial"/>
        <family val="2"/>
      </rPr>
      <t xml:space="preserve">· </t>
    </r>
    <r>
      <rPr>
        <sz val="10"/>
        <color rgb="FF1A1A1A"/>
        <rFont val="Noto Sans CJK SC"/>
        <family val="2"/>
      </rPr>
      <t>인쇄개발</t>
    </r>
    <r>
      <rPr>
        <sz val="10"/>
        <color rgb="FF1A1A1A"/>
        <rFont val="Arial"/>
        <family val="2"/>
      </rPr>
      <t>=</t>
    </r>
    <r>
      <rPr>
        <sz val="10"/>
        <color rgb="FF1A1A1A"/>
        <rFont val="Noto Sans CJK SC"/>
        <family val="2"/>
      </rPr>
      <t>상품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가격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옵션 </t>
    </r>
    <r>
      <rPr>
        <sz val="10"/>
        <color rgb="FF1A1A1A"/>
        <rFont val="Arial"/>
        <family val="2"/>
      </rPr>
      <t xml:space="preserve">· </t>
    </r>
    <r>
      <rPr>
        <sz val="10"/>
        <color rgb="FF1A1A1A"/>
        <rFont val="Noto Sans CJK SC"/>
        <family val="2"/>
      </rPr>
      <t>쇼핑개발</t>
    </r>
    <r>
      <rPr>
        <sz val="10"/>
        <color rgb="FF1A1A1A"/>
        <rFont val="Arial"/>
        <family val="2"/>
      </rPr>
      <t>=</t>
    </r>
    <r>
      <rPr>
        <sz val="10"/>
        <color rgb="FF1A1A1A"/>
        <rFont val="Noto Sans CJK SC"/>
        <family val="2"/>
      </rPr>
      <t>쇼핑몰화면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주문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페이지빌더 </t>
    </r>
    <r>
      <rPr>
        <sz val="10"/>
        <color rgb="FF1A1A1A"/>
        <rFont val="Arial"/>
        <family val="2"/>
      </rPr>
      <t xml:space="preserve">· </t>
    </r>
    <r>
      <rPr>
        <sz val="10"/>
        <color rgb="FF1A1A1A"/>
        <rFont val="Noto Sans CJK SC"/>
        <family val="2"/>
      </rPr>
      <t>협업</t>
    </r>
    <r>
      <rPr>
        <sz val="10"/>
        <color rgb="FF1A1A1A"/>
        <rFont val="Arial"/>
        <family val="2"/>
      </rPr>
      <t>=</t>
    </r>
    <r>
      <rPr>
        <sz val="10"/>
        <color rgb="FF1A1A1A"/>
        <rFont val="Noto Sans CJK SC"/>
        <family val="2"/>
      </rPr>
      <t>두 팀 함께</t>
    </r>
  </si>
  <si>
    <t>개발규모</t>
  </si>
  <si>
    <t>작업량 가늠</t>
  </si>
  <si>
    <r>
      <rPr>
        <sz val="10"/>
        <color rgb="FF1A1A1A"/>
        <rFont val="Arial"/>
        <family val="2"/>
      </rPr>
      <t>S=</t>
    </r>
    <r>
      <rPr>
        <sz val="10"/>
        <color rgb="FF1A1A1A"/>
        <rFont val="Noto Sans CJK SC"/>
        <family val="2"/>
      </rPr>
      <t xml:space="preserve">작음 </t>
    </r>
    <r>
      <rPr>
        <sz val="10"/>
        <color rgb="FF1A1A1A"/>
        <rFont val="Arial"/>
        <family val="2"/>
      </rPr>
      <t>· M=</t>
    </r>
    <r>
      <rPr>
        <sz val="10"/>
        <color rgb="FF1A1A1A"/>
        <rFont val="Noto Sans CJK SC"/>
        <family val="2"/>
      </rPr>
      <t xml:space="preserve">보통 </t>
    </r>
    <r>
      <rPr>
        <sz val="10"/>
        <color rgb="FF1A1A1A"/>
        <rFont val="Arial"/>
        <family val="2"/>
      </rPr>
      <t>· L=</t>
    </r>
    <r>
      <rPr>
        <sz val="10"/>
        <color rgb="FF1A1A1A"/>
        <rFont val="Noto Sans CJK SC"/>
        <family val="2"/>
      </rPr>
      <t xml:space="preserve">큼 </t>
    </r>
    <r>
      <rPr>
        <sz val="10"/>
        <color rgb="FF1A1A1A"/>
        <rFont val="Arial"/>
        <family val="2"/>
      </rPr>
      <t>· XL=</t>
    </r>
    <r>
      <rPr>
        <sz val="10"/>
        <color rgb="FF1A1A1A"/>
        <rFont val="Noto Sans CJK SC"/>
        <family val="2"/>
      </rPr>
      <t>매우 큼</t>
    </r>
  </si>
  <si>
    <t>진행상태</t>
  </si>
  <si>
    <t>지금 상태</t>
  </si>
  <si>
    <r>
      <rPr>
        <sz val="10"/>
        <color rgb="FF1A1A1A"/>
        <rFont val="Noto Sans CJK SC"/>
        <family val="2"/>
      </rPr>
      <t xml:space="preserve">진행중 </t>
    </r>
    <r>
      <rPr>
        <sz val="10"/>
        <color rgb="FF1A1A1A"/>
        <rFont val="Arial"/>
        <family val="2"/>
      </rPr>
      <t xml:space="preserve">· </t>
    </r>
    <r>
      <rPr>
        <sz val="10"/>
        <color rgb="FF1A1A1A"/>
        <rFont val="Noto Sans CJK SC"/>
        <family val="2"/>
      </rPr>
      <t>대기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외부계약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결정 기다림</t>
    </r>
    <r>
      <rPr>
        <sz val="10"/>
        <color rgb="FF1A1A1A"/>
        <rFont val="Arial"/>
        <family val="2"/>
      </rPr>
      <t xml:space="preserve">) · </t>
    </r>
    <r>
      <rPr>
        <sz val="10"/>
        <color rgb="FF1A1A1A"/>
        <rFont val="Noto Sans CJK SC"/>
        <family val="2"/>
      </rPr>
      <t xml:space="preserve">미착수 </t>
    </r>
    <r>
      <rPr>
        <sz val="10"/>
        <color rgb="FF1A1A1A"/>
        <rFont val="Arial"/>
        <family val="2"/>
      </rPr>
      <t xml:space="preserve">· </t>
    </r>
    <r>
      <rPr>
        <sz val="10"/>
        <color rgb="FF1A1A1A"/>
        <rFont val="Noto Sans CJK SC"/>
        <family val="2"/>
      </rPr>
      <t>완료</t>
    </r>
  </si>
  <si>
    <t>Phase</t>
  </si>
  <si>
    <t>단계</t>
  </si>
  <si>
    <r>
      <rPr>
        <sz val="10"/>
        <color rgb="FF1A1A1A"/>
        <rFont val="Arial"/>
        <family val="2"/>
      </rPr>
      <t>Phase 1=</t>
    </r>
    <r>
      <rPr>
        <sz val="10"/>
        <color rgb="FF1A1A1A"/>
        <rFont val="Noto Sans CJK SC"/>
        <family val="2"/>
      </rPr>
      <t xml:space="preserve">런칭 </t>
    </r>
    <r>
      <rPr>
        <sz val="10"/>
        <color rgb="FF1A1A1A"/>
        <rFont val="Arial"/>
        <family val="2"/>
      </rPr>
      <t>· 2=</t>
    </r>
    <r>
      <rPr>
        <sz val="10"/>
        <color rgb="FF1A1A1A"/>
        <rFont val="Noto Sans CJK SC"/>
        <family val="2"/>
      </rPr>
      <t xml:space="preserve">안정화 </t>
    </r>
    <r>
      <rPr>
        <sz val="10"/>
        <color rgb="FF1A1A1A"/>
        <rFont val="Arial"/>
        <family val="2"/>
      </rPr>
      <t>· 3=</t>
    </r>
    <r>
      <rPr>
        <sz val="10"/>
        <color rgb="FF1A1A1A"/>
        <rFont val="Noto Sans CJK SC"/>
        <family val="2"/>
      </rPr>
      <t>확장</t>
    </r>
  </si>
  <si>
    <r>
      <rPr>
        <b/>
        <sz val="10"/>
        <color rgb="FF1A1A1A"/>
        <rFont val="Noto Sans CJK SC"/>
        <family val="2"/>
      </rPr>
      <t>확인</t>
    </r>
    <r>
      <rPr>
        <b/>
        <sz val="10"/>
        <color rgb="FF1A1A1A"/>
        <rFont val="Arial"/>
        <family val="2"/>
      </rPr>
      <t>·</t>
    </r>
    <r>
      <rPr>
        <b/>
        <sz val="10"/>
        <color rgb="FF1A1A1A"/>
        <rFont val="Noto Sans CJK SC"/>
        <family val="2"/>
      </rPr>
      <t>결정 필요사항</t>
    </r>
  </si>
  <si>
    <t>먼저 풀어야 할 것</t>
  </si>
  <si>
    <r>
      <rPr>
        <sz val="10"/>
        <color rgb="FF1A1A1A"/>
        <rFont val="Noto Sans CJK SC"/>
        <family val="2"/>
      </rPr>
      <t>계약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정책 결정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데이터 정리 등 시작 전 챙길 선행조건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쉬운 말로 기재</t>
    </r>
    <r>
      <rPr>
        <sz val="10"/>
        <color rgb="FF1A1A1A"/>
        <rFont val="Arial"/>
        <family val="2"/>
      </rPr>
      <t>)</t>
    </r>
  </si>
  <si>
    <t>비고</t>
  </si>
  <si>
    <t>적용 상품</t>
  </si>
  <si>
    <t>해당 기능이 어떤 상품에 들어가는지</t>
  </si>
  <si>
    <r>
      <rPr>
        <sz val="9"/>
        <color rgb="FF555555"/>
        <rFont val="Noto Sans CJK SC"/>
        <family val="2"/>
      </rPr>
      <t>※ 개발자용 기술 상세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 xml:space="preserve">레드프린팅 </t>
    </r>
    <r>
      <rPr>
        <sz val="9"/>
        <color rgb="FF555555"/>
        <rFont val="Arial"/>
        <family val="2"/>
      </rPr>
      <t xml:space="preserve">SDK </t>
    </r>
    <r>
      <rPr>
        <sz val="9"/>
        <color rgb="FF555555"/>
        <rFont val="Noto Sans CJK SC"/>
        <family val="2"/>
      </rPr>
      <t>함수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Noto Sans CJK SC"/>
        <family val="2"/>
      </rPr>
      <t>스키마 구조 등</t>
    </r>
    <r>
      <rPr>
        <sz val="9"/>
        <color rgb="FF555555"/>
        <rFont val="Arial"/>
        <family val="2"/>
      </rPr>
      <t>)</t>
    </r>
    <r>
      <rPr>
        <sz val="9"/>
        <color rgb="FF555555"/>
        <rFont val="Noto Sans CJK SC"/>
        <family val="2"/>
      </rPr>
      <t xml:space="preserve">는 별도 파일 ‘후니프린팅 인쇄상품 </t>
    </r>
    <r>
      <rPr>
        <sz val="9"/>
        <color rgb="FF555555"/>
        <rFont val="Arial"/>
        <family val="2"/>
      </rPr>
      <t xml:space="preserve">IA </t>
    </r>
    <r>
      <rPr>
        <sz val="9"/>
        <color rgb="FF555555"/>
        <rFont val="Noto Sans CJK SC"/>
        <family val="2"/>
      </rPr>
      <t>상세’를 참고하세요</t>
    </r>
    <r>
      <rPr>
        <sz val="9"/>
        <color rgb="FF555555"/>
        <rFont val="Arial"/>
        <family val="2"/>
      </rPr>
      <t>.</t>
    </r>
  </si>
  <si>
    <r>
      <rPr>
        <b/>
        <sz val="15"/>
        <color rgb="FFFFFFFF"/>
        <rFont val="Noto Sans CJK SC"/>
        <family val="2"/>
      </rPr>
      <t xml:space="preserve">후니프린팅 통합 </t>
    </r>
    <r>
      <rPr>
        <b/>
        <sz val="15"/>
        <color rgb="FFFFFFFF"/>
        <rFont val="Arial"/>
        <family val="2"/>
      </rPr>
      <t xml:space="preserve">IA — </t>
    </r>
    <r>
      <rPr>
        <b/>
        <sz val="15"/>
        <color rgb="FFFFFFFF"/>
        <rFont val="Noto Sans CJK SC"/>
        <family val="2"/>
      </rPr>
      <t xml:space="preserve">역할 분담 </t>
    </r>
    <r>
      <rPr>
        <b/>
        <sz val="15"/>
        <color rgb="FFFFFFFF"/>
        <rFont val="Arial"/>
        <family val="2"/>
      </rPr>
      <t xml:space="preserve">&amp; </t>
    </r>
    <r>
      <rPr>
        <b/>
        <sz val="15"/>
        <color rgb="FFFFFFFF"/>
        <rFont val="Noto Sans CJK SC"/>
        <family val="2"/>
      </rPr>
      <t xml:space="preserve">진행현황  </t>
    </r>
    <r>
      <rPr>
        <b/>
        <sz val="15"/>
        <color rgb="FFFFFFFF"/>
        <rFont val="Arial"/>
        <family val="2"/>
      </rPr>
      <t>(</t>
    </r>
    <r>
      <rPr>
        <b/>
        <sz val="15"/>
        <color rgb="FFFFFFFF"/>
        <rFont val="Noto Sans CJK SC"/>
        <family val="2"/>
      </rPr>
      <t>인쇄상품 상세 반영</t>
    </r>
    <r>
      <rPr>
        <b/>
        <sz val="15"/>
        <color rgb="FFFFFFFF"/>
        <rFont val="Arial"/>
        <family val="2"/>
      </rPr>
      <t>)</t>
    </r>
  </si>
  <si>
    <r>
      <rPr>
        <sz val="10"/>
        <color rgb="FF555555"/>
        <rFont val="Arial"/>
        <family val="2"/>
      </rPr>
      <t>3</t>
    </r>
    <r>
      <rPr>
        <sz val="10"/>
        <color rgb="FF555555"/>
        <rFont val="Noto Sans CJK SC"/>
        <family val="2"/>
      </rPr>
      <t xml:space="preserve">인 체제 </t>
    </r>
    <r>
      <rPr>
        <sz val="10"/>
        <color rgb="FF555555"/>
        <rFont val="Arial"/>
        <family val="2"/>
      </rPr>
      <t>· PM(1)/</t>
    </r>
    <r>
      <rPr>
        <sz val="10"/>
        <color rgb="FF555555"/>
        <rFont val="Noto Sans CJK SC"/>
        <family val="2"/>
      </rPr>
      <t>인쇄개발</t>
    </r>
    <r>
      <rPr>
        <sz val="10"/>
        <color rgb="FF555555"/>
        <rFont val="Arial"/>
        <family val="2"/>
      </rPr>
      <t>(1)/</t>
    </r>
    <r>
      <rPr>
        <sz val="10"/>
        <color rgb="FF555555"/>
        <rFont val="Noto Sans CJK SC"/>
        <family val="2"/>
      </rPr>
      <t>쇼핑개발</t>
    </r>
    <r>
      <rPr>
        <sz val="10"/>
        <color rgb="FF555555"/>
        <rFont val="Arial"/>
        <family val="2"/>
      </rPr>
      <t xml:space="preserve">(1) · </t>
    </r>
    <r>
      <rPr>
        <sz val="10"/>
        <color rgb="FF555555"/>
        <rFont val="Noto Sans CJK SC"/>
        <family val="2"/>
      </rPr>
      <t xml:space="preserve">기준 </t>
    </r>
    <r>
      <rPr>
        <sz val="10"/>
        <color rgb="FF555555"/>
        <rFont val="Arial"/>
        <family val="2"/>
      </rPr>
      <t>IA 144</t>
    </r>
    <r>
      <rPr>
        <sz val="10"/>
        <color rgb="FF555555"/>
        <rFont val="Noto Sans CJK SC"/>
        <family val="2"/>
      </rPr>
      <t xml:space="preserve">개 기능 </t>
    </r>
    <r>
      <rPr>
        <sz val="10"/>
        <color rgb="FF555555"/>
        <rFont val="Arial"/>
        <family val="2"/>
      </rPr>
      <t>(</t>
    </r>
    <r>
      <rPr>
        <sz val="10"/>
        <color rgb="FF555555"/>
        <rFont val="Noto Sans CJK SC"/>
        <family val="2"/>
      </rPr>
      <t xml:space="preserve">인쇄상품 상세 </t>
    </r>
    <r>
      <rPr>
        <sz val="10"/>
        <color rgb="FF555555"/>
        <rFont val="Arial"/>
        <family val="2"/>
      </rPr>
      <t>35</t>
    </r>
    <r>
      <rPr>
        <sz val="10"/>
        <color rgb="FF555555"/>
        <rFont val="Noto Sans CJK SC"/>
        <family val="2"/>
      </rPr>
      <t>행 포함</t>
    </r>
    <r>
      <rPr>
        <sz val="10"/>
        <color rgb="FF555555"/>
        <rFont val="Arial"/>
        <family val="2"/>
      </rPr>
      <t>)</t>
    </r>
  </si>
  <si>
    <t>역할</t>
  </si>
  <si>
    <t>트랙</t>
  </si>
  <si>
    <t>핵심 책임범위</t>
  </si>
  <si>
    <r>
      <rPr>
        <b/>
        <sz val="10"/>
        <color rgb="FFFFFFFF"/>
        <rFont val="Noto Sans CJK SC"/>
        <family val="2"/>
      </rPr>
      <t xml:space="preserve">담당 </t>
    </r>
    <r>
      <rPr>
        <b/>
        <sz val="10"/>
        <color rgb="FFFFFFFF"/>
        <rFont val="Arial"/>
        <family val="2"/>
      </rPr>
      <t xml:space="preserve">IA </t>
    </r>
    <r>
      <rPr>
        <b/>
        <sz val="10"/>
        <color rgb="FFFFFFFF"/>
        <rFont val="Noto Sans CJK SC"/>
        <family val="2"/>
      </rPr>
      <t>영역</t>
    </r>
  </si>
  <si>
    <t>현재 진행상황</t>
  </si>
  <si>
    <t>주요 산출물</t>
  </si>
  <si>
    <t>PM</t>
  </si>
  <si>
    <r>
      <rPr>
        <sz val="10"/>
        <color rgb="FF1A1A1A"/>
        <rFont val="Noto Sans CJK SC"/>
        <family val="2"/>
      </rPr>
      <t>기획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조율</t>
    </r>
  </si>
  <si>
    <r>
      <rPr>
        <sz val="10"/>
        <color rgb="FF1A1A1A"/>
        <rFont val="Noto Sans CJK SC"/>
        <family val="2"/>
      </rPr>
      <t>일정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우선순위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운영정책 확정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외부계약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알림톡</t>
    </r>
    <r>
      <rPr>
        <sz val="10"/>
        <color rgb="FF1A1A1A"/>
        <rFont val="Arial"/>
        <family val="2"/>
      </rPr>
      <t>·PG·</t>
    </r>
    <r>
      <rPr>
        <sz val="10"/>
        <color rgb="FF1A1A1A"/>
        <rFont val="Noto Sans CJK SC"/>
        <family val="2"/>
      </rPr>
      <t>이니시스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에디터</t>
    </r>
    <r>
      <rPr>
        <sz val="10"/>
        <color rgb="FF1A1A1A"/>
        <rFont val="Arial"/>
        <family val="2"/>
      </rPr>
      <t xml:space="preserve">), QA, </t>
    </r>
    <r>
      <rPr>
        <sz val="10"/>
        <color rgb="FF1A1A1A"/>
        <rFont val="Noto Sans CJK SC"/>
        <family val="2"/>
      </rPr>
      <t>실무진 테스트 조율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콘텐츠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약관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인쇄가이드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</si>
  <si>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>전 영역 의사결정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정책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계약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검수</t>
    </r>
  </si>
  <si>
    <r>
      <rPr>
        <sz val="10"/>
        <color rgb="FF1A1A1A"/>
        <rFont val="Noto Sans CJK SC"/>
        <family val="2"/>
      </rPr>
      <t xml:space="preserve">운영정책 </t>
    </r>
    <r>
      <rPr>
        <sz val="10"/>
        <color rgb="FF1A1A1A"/>
        <rFont val="Arial"/>
        <family val="2"/>
      </rPr>
      <t>5</t>
    </r>
    <r>
      <rPr>
        <sz val="10"/>
        <color rgb="FF1A1A1A"/>
        <rFont val="Noto Sans CJK SC"/>
        <family val="2"/>
      </rPr>
      <t xml:space="preserve">건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에디터 도입</t>
    </r>
    <r>
      <rPr>
        <sz val="10"/>
        <color rgb="FF1A1A1A"/>
        <rFont val="Arial"/>
        <family val="2"/>
      </rPr>
      <t xml:space="preserve">(D3/D4) </t>
    </r>
    <r>
      <rPr>
        <sz val="10"/>
        <color rgb="FF1A1A1A"/>
        <rFont val="Noto Sans CJK SC"/>
        <family val="2"/>
      </rPr>
      <t>결정 대기</t>
    </r>
  </si>
  <si>
    <r>
      <rPr>
        <sz val="10"/>
        <color rgb="FF1A1A1A"/>
        <rFont val="Noto Sans CJK SC"/>
        <family val="2"/>
      </rPr>
      <t>일정표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정책 확정서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계약 완료</t>
    </r>
    <r>
      <rPr>
        <sz val="10"/>
        <color rgb="FF1A1A1A"/>
        <rFont val="Arial"/>
        <family val="2"/>
      </rPr>
      <t>·QA</t>
    </r>
  </si>
  <si>
    <t>인쇄개발</t>
  </si>
  <si>
    <r>
      <rPr>
        <sz val="10"/>
        <color rgb="FF1A1A1A"/>
        <rFont val="Noto Sans CJK SC"/>
        <family val="2"/>
      </rPr>
      <t>상품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가격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위젯</t>
    </r>
  </si>
  <si>
    <r>
      <rPr>
        <sz val="10"/>
        <color rgb="FF1A1A1A"/>
        <rFont val="Noto Sans CJK SC"/>
        <family val="2"/>
      </rPr>
      <t>관리자 상품관리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상품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사이즈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소재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용지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가격</t>
    </r>
    <r>
      <rPr>
        <sz val="10"/>
        <color rgb="FF1A1A1A"/>
        <rFont val="Arial"/>
        <family val="2"/>
      </rPr>
      <t xml:space="preserve">) + </t>
    </r>
    <r>
      <rPr>
        <sz val="10"/>
        <color rgb="FF1A1A1A"/>
        <rFont val="Noto Sans CJK SC"/>
        <family val="2"/>
      </rPr>
      <t>고객 인쇄상품 옵션위젯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실시간가격</t>
    </r>
    <r>
      <rPr>
        <sz val="10"/>
        <color rgb="FF1A1A1A"/>
        <rFont val="Arial"/>
        <family val="2"/>
      </rPr>
      <t>(3</t>
    </r>
    <r>
      <rPr>
        <sz val="10"/>
        <color rgb="FF1A1A1A"/>
        <rFont val="Noto Sans CJK SC"/>
        <family val="2"/>
      </rPr>
      <t>엔진</t>
    </r>
    <r>
      <rPr>
        <sz val="10"/>
        <color rgb="FF1A1A1A"/>
        <rFont val="Arial"/>
        <family val="2"/>
      </rPr>
      <t>)·</t>
    </r>
    <r>
      <rPr>
        <sz val="10"/>
        <color rgb="FF1A1A1A"/>
        <rFont val="Noto Sans CJK SC"/>
        <family val="2"/>
      </rPr>
      <t>가이드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견적</t>
    </r>
    <r>
      <rPr>
        <sz val="10"/>
        <color rgb="FF1A1A1A"/>
        <rFont val="Arial"/>
        <family val="2"/>
      </rPr>
      <t xml:space="preserve">, CPQ </t>
    </r>
    <r>
      <rPr>
        <sz val="10"/>
        <color rgb="FF1A1A1A"/>
        <rFont val="Noto Sans CJK SC"/>
        <family val="2"/>
      </rPr>
      <t>엔진</t>
    </r>
  </si>
  <si>
    <r>
      <rPr>
        <sz val="10"/>
        <color rgb="FF1A1A1A"/>
        <rFont val="Noto Sans CJK SC"/>
        <family val="2"/>
      </rPr>
      <t xml:space="preserve">관리자 상품관리 </t>
    </r>
    <r>
      <rPr>
        <sz val="10"/>
        <color rgb="FF1A1A1A"/>
        <rFont val="Arial"/>
        <family val="2"/>
      </rPr>
      <t>14</t>
    </r>
    <r>
      <rPr>
        <sz val="10"/>
        <color rgb="FF1A1A1A"/>
        <rFont val="Noto Sans CJK SC"/>
        <family val="2"/>
      </rPr>
      <t xml:space="preserve">종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인쇄상품 옵션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가격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 xml:space="preserve">가이드 </t>
    </r>
    <r>
      <rPr>
        <sz val="10"/>
        <color rgb="FF1A1A1A"/>
        <rFont val="Arial"/>
        <family val="2"/>
      </rPr>
      <t>24</t>
    </r>
    <r>
      <rPr>
        <sz val="10"/>
        <color rgb="FF1A1A1A"/>
        <rFont val="Noto Sans CJK SC"/>
        <family val="2"/>
      </rPr>
      <t>종</t>
    </r>
  </si>
  <si>
    <r>
      <rPr>
        <sz val="10"/>
        <color rgb="FF1A1A1A"/>
        <rFont val="Noto Sans CJK SC"/>
        <family val="2"/>
      </rPr>
      <t>검증된 상품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가격 </t>
    </r>
    <r>
      <rPr>
        <sz val="10"/>
        <color rgb="FF1A1A1A"/>
        <rFont val="Arial"/>
        <family val="2"/>
      </rPr>
      <t>DB·CPQ 3</t>
    </r>
    <r>
      <rPr>
        <sz val="10"/>
        <color rgb="FF1A1A1A"/>
        <rFont val="Noto Sans CJK SC"/>
        <family val="2"/>
      </rPr>
      <t>엔진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임베드형 옵션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가격 위젯</t>
    </r>
  </si>
  <si>
    <t>쇼핑개발</t>
  </si>
  <si>
    <r>
      <rPr>
        <sz val="10"/>
        <color rgb="FF1A1A1A"/>
        <rFont val="Noto Sans CJK SC"/>
        <family val="2"/>
      </rPr>
      <t>페이지빌더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쇼핑</t>
    </r>
  </si>
  <si>
    <r>
      <rPr>
        <sz val="10"/>
        <color rgb="FF1A1A1A"/>
        <rFont val="Noto Sans CJK SC"/>
        <family val="2"/>
      </rPr>
      <t>상세페이지 빌더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파일업로드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주문전환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플로팅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장바구니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쇼핑몰 사용자 전반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관리자 커머스 운영</t>
    </r>
  </si>
  <si>
    <r>
      <rPr>
        <sz val="10"/>
        <color rgb="FF1A1A1A"/>
        <rFont val="Noto Sans CJK SC"/>
        <family val="2"/>
      </rPr>
      <t xml:space="preserve">쇼핑몰 사용자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인쇄상품 파일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 xml:space="preserve">주문 </t>
    </r>
    <r>
      <rPr>
        <sz val="10"/>
        <color rgb="FF1A1A1A"/>
        <rFont val="Arial"/>
        <family val="2"/>
      </rPr>
      <t>11</t>
    </r>
    <r>
      <rPr>
        <sz val="10"/>
        <color rgb="FF1A1A1A"/>
        <rFont val="Noto Sans CJK SC"/>
        <family val="2"/>
      </rPr>
      <t xml:space="preserve">종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 xml:space="preserve">관리자 커머스 </t>
    </r>
    <r>
      <rPr>
        <sz val="10"/>
        <color rgb="FF1A1A1A"/>
        <rFont val="Arial"/>
        <family val="2"/>
      </rPr>
      <t>33</t>
    </r>
    <r>
      <rPr>
        <sz val="10"/>
        <color rgb="FF1A1A1A"/>
        <rFont val="Noto Sans CJK SC"/>
        <family val="2"/>
      </rPr>
      <t>종</t>
    </r>
  </si>
  <si>
    <r>
      <rPr>
        <b/>
        <sz val="10"/>
        <color rgb="FF1A1A1A"/>
        <rFont val="Noto Sans CJK SC"/>
        <family val="2"/>
      </rPr>
      <t>▶ 진행중</t>
    </r>
    <r>
      <rPr>
        <b/>
        <sz val="10"/>
        <color rgb="FF1A1A1A"/>
        <rFont val="Arial"/>
        <family val="2"/>
      </rPr>
      <t xml:space="preserve">: </t>
    </r>
    <r>
      <rPr>
        <b/>
        <sz val="10"/>
        <color rgb="FF1A1A1A"/>
        <rFont val="Noto Sans CJK SC"/>
        <family val="2"/>
      </rPr>
      <t>상세 콘텐츠 빌더</t>
    </r>
    <r>
      <rPr>
        <b/>
        <sz val="10"/>
        <color rgb="FF1A1A1A"/>
        <rFont val="Arial"/>
        <family val="2"/>
      </rPr>
      <t xml:space="preserve">(G1) </t>
    </r>
    <r>
      <rPr>
        <b/>
        <sz val="10"/>
        <color rgb="FF1A1A1A"/>
        <rFont val="Noto Sans CJK SC"/>
        <family val="2"/>
      </rPr>
      <t>작업→실무진 테스트 전달</t>
    </r>
  </si>
  <si>
    <r>
      <rPr>
        <sz val="10"/>
        <color rgb="FF1A1A1A"/>
        <rFont val="Noto Sans CJK SC"/>
        <family val="2"/>
      </rPr>
      <t>상세페이지 빌더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스토어프론트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주문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결제 플로우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관리자 운영툴</t>
    </r>
  </si>
  <si>
    <t>⟡ 협업 포인트</t>
  </si>
  <si>
    <r>
      <rPr>
        <sz val="10"/>
        <color rgb="FF1A1A1A"/>
        <rFont val="Arial"/>
        <family val="2"/>
      </rPr>
      <t xml:space="preserve">· </t>
    </r>
    <r>
      <rPr>
        <sz val="10"/>
        <color rgb="FF1A1A1A"/>
        <rFont val="Noto Sans CJK SC"/>
        <family val="2"/>
      </rPr>
      <t>인쇄상품 옵션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가격 위젯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인쇄개발</t>
    </r>
    <r>
      <rPr>
        <sz val="10"/>
        <color rgb="FF1A1A1A"/>
        <rFont val="Arial"/>
        <family val="2"/>
      </rPr>
      <t xml:space="preserve">) ↔ </t>
    </r>
    <r>
      <rPr>
        <sz val="10"/>
        <color rgb="FF1A1A1A"/>
        <rFont val="Noto Sans CJK SC"/>
        <family val="2"/>
      </rPr>
      <t>상세페이지 임베드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주문전환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쇼핑개발</t>
    </r>
    <r>
      <rPr>
        <sz val="10"/>
        <color rgb="FF1A1A1A"/>
        <rFont val="Arial"/>
        <family val="2"/>
      </rPr>
      <t xml:space="preserve">) — Aurora Web Components </t>
    </r>
    <r>
      <rPr>
        <sz val="10"/>
        <color rgb="FF1A1A1A"/>
        <rFont val="Noto Sans CJK SC"/>
        <family val="2"/>
      </rPr>
      <t>위에 결합</t>
    </r>
  </si>
  <si>
    <r>
      <rPr>
        <sz val="10"/>
        <color rgb="FF1A1A1A"/>
        <rFont val="Arial"/>
        <family val="2"/>
      </rPr>
      <t xml:space="preserve">· </t>
    </r>
    <r>
      <rPr>
        <sz val="10"/>
        <color rgb="FF1A1A1A"/>
        <rFont val="Noto Sans CJK SC"/>
        <family val="2"/>
      </rPr>
      <t xml:space="preserve">온라인 에디터 </t>
    </r>
    <r>
      <rPr>
        <sz val="10"/>
        <color rgb="FF1A1A1A"/>
        <rFont val="Arial"/>
        <family val="2"/>
      </rPr>
      <t xml:space="preserve">D3·D4 — </t>
    </r>
    <r>
      <rPr>
        <sz val="10"/>
        <color rgb="FF1A1A1A"/>
        <rFont val="Noto Sans CJK SC"/>
        <family val="2"/>
      </rPr>
      <t>협업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외부 도입 검토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런칭 후순위</t>
    </r>
    <r>
      <rPr>
        <sz val="10"/>
        <color rgb="FF1A1A1A"/>
        <rFont val="Arial"/>
        <family val="2"/>
      </rPr>
      <t>(P2)</t>
    </r>
  </si>
  <si>
    <r>
      <rPr>
        <sz val="10"/>
        <color rgb="FF1A1A1A"/>
        <rFont val="Arial"/>
        <family val="2"/>
      </rPr>
      <t xml:space="preserve">· B15 </t>
    </r>
    <r>
      <rPr>
        <sz val="10"/>
        <color rgb="FF1A1A1A"/>
        <rFont val="Noto Sans CJK SC"/>
        <family val="2"/>
      </rPr>
      <t>옵션 제약 ↔ 폴리모픽 스키마</t>
    </r>
    <r>
      <rPr>
        <sz val="10"/>
        <color rgb="FF1A1A1A"/>
        <rFont val="Arial"/>
        <family val="2"/>
      </rPr>
      <t xml:space="preserve">(ref_key+ref_dim_cd) — </t>
    </r>
    <r>
      <rPr>
        <sz val="10"/>
        <color rgb="FF1A1A1A"/>
        <rFont val="Noto Sans CJK SC"/>
        <family val="2"/>
      </rPr>
      <t>데이터로 표현돼야 동적 위젯 성립</t>
    </r>
  </si>
  <si>
    <t>No</t>
  </si>
  <si>
    <t>시스템</t>
  </si>
  <si>
    <t>영역</t>
  </si>
  <si>
    <t>기능</t>
  </si>
  <si>
    <r>
      <rPr>
        <b/>
        <sz val="10"/>
        <color rgb="FFFFFFFF"/>
        <rFont val="Noto Sans CJK SC"/>
        <family val="2"/>
      </rPr>
      <t>확인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Noto Sans CJK SC"/>
        <family val="2"/>
      </rPr>
      <t xml:space="preserve">결정 필요사항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선행조건</t>
    </r>
    <r>
      <rPr>
        <b/>
        <sz val="10"/>
        <color rgb="FFFFFFFF"/>
        <rFont val="Arial"/>
        <family val="2"/>
      </rPr>
      <t>)</t>
    </r>
  </si>
  <si>
    <t>쇼핑몰</t>
  </si>
  <si>
    <t>로그인</t>
  </si>
  <si>
    <t>일반 로그인</t>
  </si>
  <si>
    <t>P0</t>
  </si>
  <si>
    <t>S</t>
  </si>
  <si>
    <t>미착수</t>
  </si>
  <si>
    <r>
      <rPr>
        <sz val="10"/>
        <color rgb="FF1A1A1A"/>
        <rFont val="Arial"/>
        <family val="2"/>
      </rPr>
      <t>Phase 1 (</t>
    </r>
    <r>
      <rPr>
        <sz val="10"/>
        <color rgb="FF1A1A1A"/>
        <rFont val="Noto Sans CJK SC"/>
        <family val="2"/>
      </rPr>
      <t>런칭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</si>
  <si>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아이디 찾기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이메일 발송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</si>
  <si>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비밀번호 찾기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휴대폰 임시</t>
    </r>
    <r>
      <rPr>
        <sz val="10"/>
        <color rgb="FF1A1A1A"/>
        <rFont val="Arial"/>
        <family val="2"/>
      </rPr>
      <t>PW)</t>
    </r>
  </si>
  <si>
    <t>P1</t>
  </si>
  <si>
    <t>M</t>
  </si>
  <si>
    <t>대기</t>
  </si>
  <si>
    <r>
      <rPr>
        <sz val="10"/>
        <color rgb="FF1A1A1A"/>
        <rFont val="Arial"/>
        <family val="2"/>
      </rPr>
      <t>Phase 2 (</t>
    </r>
    <r>
      <rPr>
        <sz val="10"/>
        <color rgb="FF1A1A1A"/>
        <rFont val="Noto Sans CJK SC"/>
        <family val="2"/>
      </rPr>
      <t>안정화</t>
    </r>
    <r>
      <rPr>
        <sz val="10"/>
        <color rgb="FF1A1A1A"/>
        <rFont val="Arial"/>
        <family val="2"/>
      </rPr>
      <t>)</t>
    </r>
  </si>
  <si>
    <r>
      <rPr>
        <sz val="9"/>
        <color rgb="FF1A1A1A"/>
        <rFont val="Noto Sans CJK SC"/>
        <family val="2"/>
      </rPr>
      <t xml:space="preserve">알림톡 서비스 계약 먼저 </t>
    </r>
    <r>
      <rPr>
        <sz val="9"/>
        <color rgb="FF1A1A1A"/>
        <rFont val="Arial"/>
        <family val="2"/>
      </rPr>
      <t>(PM)</t>
    </r>
  </si>
  <si>
    <t>알림톡 서비스 계약 필요</t>
  </si>
  <si>
    <t>회원가입</t>
  </si>
  <si>
    <t>약관동의</t>
  </si>
  <si>
    <t>정보입력</t>
  </si>
  <si>
    <t>이메일 중복확인</t>
  </si>
  <si>
    <t>휴대전화 인증</t>
  </si>
  <si>
    <r>
      <rPr>
        <sz val="9"/>
        <color rgb="FF1A1A1A"/>
        <rFont val="Noto Sans CJK SC"/>
        <family val="2"/>
      </rPr>
      <t>휴대폰 인증</t>
    </r>
    <r>
      <rPr>
        <sz val="9"/>
        <color rgb="FF1A1A1A"/>
        <rFont val="Arial"/>
        <family val="2"/>
      </rPr>
      <t>·</t>
    </r>
    <r>
      <rPr>
        <sz val="9"/>
        <color rgb="FF1A1A1A"/>
        <rFont val="Noto Sans CJK SC"/>
        <family val="2"/>
      </rPr>
      <t xml:space="preserve">문자 서비스 계약 먼저 </t>
    </r>
    <r>
      <rPr>
        <sz val="9"/>
        <color rgb="FF1A1A1A"/>
        <rFont val="Arial"/>
        <family val="2"/>
      </rPr>
      <t>(PM)</t>
    </r>
  </si>
  <si>
    <t>이슈사항에 추가</t>
  </si>
  <si>
    <t>가입완료 메일 발송</t>
  </si>
  <si>
    <t>마이페이지</t>
  </si>
  <si>
    <t>주문조회</t>
  </si>
  <si>
    <r>
      <rPr>
        <sz val="10"/>
        <color rgb="FF1A1A1A"/>
        <rFont val="Noto Sans CJK SC"/>
        <family val="2"/>
      </rPr>
      <t>주문상세조회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편집상품 미리보기</t>
    </r>
    <r>
      <rPr>
        <sz val="10"/>
        <color rgb="FF1A1A1A"/>
        <rFont val="Arial"/>
        <family val="2"/>
      </rPr>
      <t>)</t>
    </r>
  </si>
  <si>
    <t>L</t>
  </si>
  <si>
    <r>
      <rPr>
        <sz val="10"/>
        <color rgb="FF1A1A1A"/>
        <rFont val="Noto Sans CJK SC"/>
        <family val="2"/>
      </rPr>
      <t xml:space="preserve">옵션보관함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저장된 인쇄옵션</t>
    </r>
    <r>
      <rPr>
        <sz val="10"/>
        <color rgb="FF1A1A1A"/>
        <rFont val="Arial"/>
        <family val="2"/>
      </rPr>
      <t>)</t>
    </r>
  </si>
  <si>
    <t>재주문시 옵션 불러오기</t>
  </si>
  <si>
    <t xml:space="preserve">쿠폰관리 </t>
  </si>
  <si>
    <t>쿠폰등록</t>
  </si>
  <si>
    <r>
      <rPr>
        <sz val="9"/>
        <color rgb="FF555555"/>
        <rFont val="Noto Sans CJK SC"/>
        <family val="2"/>
      </rPr>
      <t>로그인한 상태에서만 등록가능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등록후 결과</t>
    </r>
  </si>
  <si>
    <t>프린팅머니</t>
  </si>
  <si>
    <r>
      <rPr>
        <sz val="9"/>
        <color rgb="FF1A1A1A"/>
        <rFont val="Noto Sans CJK SC"/>
        <family val="2"/>
      </rPr>
      <t>결제대행</t>
    </r>
    <r>
      <rPr>
        <sz val="9"/>
        <color rgb="FF1A1A1A"/>
        <rFont val="Arial"/>
        <family val="2"/>
      </rPr>
      <t xml:space="preserve">(PG) </t>
    </r>
    <r>
      <rPr>
        <sz val="9"/>
        <color rgb="FF1A1A1A"/>
        <rFont val="Noto Sans CJK SC"/>
        <family val="2"/>
      </rPr>
      <t xml:space="preserve">연동 먼저 </t>
    </r>
    <r>
      <rPr>
        <sz val="9"/>
        <color rgb="FF1A1A1A"/>
        <rFont val="Arial"/>
        <family val="2"/>
      </rPr>
      <t>(PM)</t>
    </r>
  </si>
  <si>
    <r>
      <rPr>
        <sz val="9"/>
        <color rgb="FF555555"/>
        <rFont val="Arial"/>
        <family val="2"/>
      </rPr>
      <t xml:space="preserve">PG </t>
    </r>
    <r>
      <rPr>
        <sz val="9"/>
        <color rgb="FF555555"/>
        <rFont val="Noto Sans CJK SC"/>
        <family val="2"/>
      </rPr>
      <t>연동 필요</t>
    </r>
  </si>
  <si>
    <t>머니충전</t>
  </si>
  <si>
    <t>결제가 가능해야함</t>
  </si>
  <si>
    <r>
      <rPr>
        <sz val="10"/>
        <color rgb="FF1A1A1A"/>
        <rFont val="Noto Sans CJK SC"/>
        <family val="2"/>
      </rPr>
      <t>나의 상품</t>
    </r>
    <r>
      <rPr>
        <sz val="10"/>
        <color rgb="FF1A1A1A"/>
        <rFont val="Arial"/>
        <family val="2"/>
      </rPr>
      <t xml:space="preserve">Q&amp;A + </t>
    </r>
    <r>
      <rPr>
        <sz val="10"/>
        <color rgb="FF1A1A1A"/>
        <rFont val="Noto Sans CJK SC"/>
        <family val="2"/>
      </rPr>
      <t>문의하기</t>
    </r>
  </si>
  <si>
    <t>나의 리뷰</t>
  </si>
  <si>
    <t>P2</t>
  </si>
  <si>
    <r>
      <rPr>
        <sz val="10"/>
        <color rgb="FF1A1A1A"/>
        <rFont val="Arial"/>
        <family val="2"/>
      </rPr>
      <t>Phase 3 (</t>
    </r>
    <r>
      <rPr>
        <sz val="10"/>
        <color rgb="FF1A1A1A"/>
        <rFont val="Noto Sans CJK SC"/>
        <family val="2"/>
      </rPr>
      <t>확장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</si>
  <si>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 xml:space="preserve">배송완료건에 한해 리뷰쓰면 즉시노출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>쿠폰자동발행으로 쿠폰지급</t>
    </r>
  </si>
  <si>
    <r>
      <rPr>
        <sz val="10"/>
        <color rgb="FF1A1A1A"/>
        <rFont val="Noto Sans CJK SC"/>
        <family val="2"/>
      </rPr>
      <t>리뷰쓰기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사진업로드</t>
    </r>
    <r>
      <rPr>
        <sz val="10"/>
        <color rgb="FF1A1A1A"/>
        <rFont val="Arial"/>
        <family val="2"/>
      </rPr>
      <t xml:space="preserve">) </t>
    </r>
    <r>
      <rPr>
        <sz val="10"/>
        <color rgb="FF1A1A1A"/>
        <rFont val="Noto Sans CJK SC"/>
        <family val="2"/>
      </rPr>
      <t>수정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삭제</t>
    </r>
  </si>
  <si>
    <t>삭제시에도 쿠폰자동회수</t>
  </si>
  <si>
    <r>
      <rPr>
        <sz val="10"/>
        <color rgb="FF1A1A1A"/>
        <rFont val="Noto Sans CJK SC"/>
        <family val="2"/>
      </rPr>
      <t xml:space="preserve">나의 체험단 활동내역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후기</t>
    </r>
  </si>
  <si>
    <t>당첨자만 후기등록 활성화</t>
  </si>
  <si>
    <r>
      <rPr>
        <sz val="10"/>
        <color rgb="FF1A1A1A"/>
        <rFont val="Arial"/>
        <family val="2"/>
      </rPr>
      <t>1:1</t>
    </r>
    <r>
      <rPr>
        <sz val="10"/>
        <color rgb="FF1A1A1A"/>
        <rFont val="Noto Sans CJK SC"/>
        <family val="2"/>
      </rPr>
      <t xml:space="preserve">문의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문의하기</t>
    </r>
  </si>
  <si>
    <t>회원정보수정</t>
  </si>
  <si>
    <r>
      <rPr>
        <sz val="10"/>
        <color rgb="FF1A1A1A"/>
        <rFont val="Noto Sans CJK SC"/>
        <family val="2"/>
      </rPr>
      <t>회원정보수정</t>
    </r>
    <r>
      <rPr>
        <sz val="10"/>
        <color rgb="FF1A1A1A"/>
        <rFont val="Arial"/>
        <family val="2"/>
      </rPr>
      <t>_</t>
    </r>
    <r>
      <rPr>
        <sz val="10"/>
        <color rgb="FF1A1A1A"/>
        <rFont val="Noto Sans CJK SC"/>
        <family val="2"/>
      </rPr>
      <t>비밀번호입력</t>
    </r>
  </si>
  <si>
    <t>정보수정전 비밀번호 입력후 페이지전환</t>
  </si>
  <si>
    <t>비밀번호변경</t>
  </si>
  <si>
    <r>
      <rPr>
        <sz val="9"/>
        <color rgb="FF1A1A1A"/>
        <rFont val="Noto Sans CJK SC"/>
        <family val="2"/>
      </rPr>
      <t xml:space="preserve">비밀번호 변경 시 본인확인 방법 결정 필요 </t>
    </r>
    <r>
      <rPr>
        <sz val="9"/>
        <color rgb="FF1A1A1A"/>
        <rFont val="Arial"/>
        <family val="2"/>
      </rPr>
      <t>(PM)</t>
    </r>
  </si>
  <si>
    <r>
      <rPr>
        <sz val="9"/>
        <color rgb="FF555555"/>
        <rFont val="Noto Sans CJK SC"/>
        <family val="2"/>
      </rPr>
      <t>변경전 인증방법은</t>
    </r>
    <r>
      <rPr>
        <sz val="9"/>
        <color rgb="FF555555"/>
        <rFont val="Arial"/>
        <family val="2"/>
      </rPr>
      <t>?</t>
    </r>
  </si>
  <si>
    <t>회원탈퇴</t>
  </si>
  <si>
    <r>
      <rPr>
        <sz val="9"/>
        <color rgb="FF1A1A1A"/>
        <rFont val="Noto Sans CJK SC"/>
        <family val="2"/>
      </rPr>
      <t xml:space="preserve">회원탈퇴 시 본인확인 방법 결정 필요 </t>
    </r>
    <r>
      <rPr>
        <sz val="9"/>
        <color rgb="FF1A1A1A"/>
        <rFont val="Arial"/>
        <family val="2"/>
      </rPr>
      <t>(PM)</t>
    </r>
  </si>
  <si>
    <r>
      <rPr>
        <sz val="9"/>
        <color rgb="FF555555"/>
        <rFont val="Noto Sans CJK SC"/>
        <family val="2"/>
      </rPr>
      <t>탈퇴전 인증방법은</t>
    </r>
    <r>
      <rPr>
        <sz val="9"/>
        <color rgb="FF555555"/>
        <rFont val="Arial"/>
        <family val="2"/>
      </rPr>
      <t>?</t>
    </r>
  </si>
  <si>
    <r>
      <rPr>
        <sz val="10"/>
        <color rgb="FF1A1A1A"/>
        <rFont val="Noto Sans CJK SC"/>
        <family val="2"/>
      </rPr>
      <t xml:space="preserve">증빙서류발급내역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현금영수증</t>
    </r>
    <r>
      <rPr>
        <sz val="10"/>
        <color rgb="FF1A1A1A"/>
        <rFont val="Arial"/>
        <family val="2"/>
      </rPr>
      <t>+</t>
    </r>
    <r>
      <rPr>
        <sz val="10"/>
        <color rgb="FF1A1A1A"/>
        <rFont val="Noto Sans CJK SC"/>
        <family val="2"/>
      </rPr>
      <t>세금계산서</t>
    </r>
    <r>
      <rPr>
        <sz val="10"/>
        <color rgb="FF1A1A1A"/>
        <rFont val="Arial"/>
        <family val="2"/>
      </rPr>
      <t>)</t>
    </r>
  </si>
  <si>
    <r>
      <rPr>
        <sz val="9"/>
        <color rgb="FF1A1A1A"/>
        <rFont val="Noto Sans CJK SC"/>
        <family val="2"/>
      </rPr>
      <t xml:space="preserve">증빙서류 발급 규칙 결정 필요 </t>
    </r>
    <r>
      <rPr>
        <sz val="9"/>
        <color rgb="FF1A1A1A"/>
        <rFont val="Arial"/>
        <family val="2"/>
      </rPr>
      <t>(PM)</t>
    </r>
  </si>
  <si>
    <r>
      <rPr>
        <sz val="9"/>
        <color rgb="FF555555"/>
        <rFont val="Noto Sans CJK SC"/>
        <family val="2"/>
      </rPr>
      <t>신청가능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완료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불가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 xml:space="preserve">신용카드 </t>
    </r>
    <r>
      <rPr>
        <sz val="9"/>
        <color rgb="FF555555"/>
        <rFont val="Arial"/>
        <family val="2"/>
      </rPr>
      <t>4</t>
    </r>
    <r>
      <rPr>
        <sz val="9"/>
        <color rgb="FF555555"/>
        <rFont val="Noto Sans CJK SC"/>
        <family val="2"/>
      </rPr>
      <t xml:space="preserve">상태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 xml:space="preserve">발행내역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 xml:space="preserve">신청완료시 발급상태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>미발행건 발급가능</t>
    </r>
    <r>
      <rPr>
        <sz val="9"/>
        <color rgb="FF555555"/>
        <rFont val="Arial"/>
        <family val="2"/>
      </rPr>
      <t>?</t>
    </r>
  </si>
  <si>
    <r>
      <rPr>
        <sz val="10"/>
        <color rgb="FF1A1A1A"/>
        <rFont val="Noto Sans CJK SC"/>
        <family val="2"/>
      </rPr>
      <t>사업자정보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목록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</si>
  <si>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>사업자정보등록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쓰기</t>
    </r>
    <r>
      <rPr>
        <sz val="10"/>
        <color rgb="FF1A1A1A"/>
        <rFont val="Arial"/>
        <family val="2"/>
      </rPr>
      <t>)</t>
    </r>
  </si>
  <si>
    <t>현금영수증정보</t>
  </si>
  <si>
    <r>
      <rPr>
        <sz val="9"/>
        <color rgb="FF1A1A1A"/>
        <rFont val="Noto Sans CJK SC"/>
        <family val="2"/>
      </rPr>
      <t xml:space="preserve">현금영수증 정보 수집 여부 결정 필요 </t>
    </r>
    <r>
      <rPr>
        <sz val="9"/>
        <color rgb="FF1A1A1A"/>
        <rFont val="Arial"/>
        <family val="2"/>
      </rPr>
      <t>(PM)</t>
    </r>
  </si>
  <si>
    <t>필요여부 확인해야함</t>
  </si>
  <si>
    <t>메인</t>
  </si>
  <si>
    <r>
      <rPr>
        <sz val="10"/>
        <color rgb="FF1A1A1A"/>
        <rFont val="Noto Sans CJK SC"/>
        <family val="2"/>
      </rPr>
      <t>서브메인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랜딩페이지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</si>
  <si>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Arial"/>
        <family val="2"/>
      </rPr>
      <t xml:space="preserve">1depth </t>
    </r>
    <r>
      <rPr>
        <sz val="9"/>
        <color rgb="FF555555"/>
        <rFont val="Noto Sans CJK SC"/>
        <family val="2"/>
      </rPr>
      <t xml:space="preserve">의 페이지 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>랜딩페이지로 사용</t>
    </r>
    <r>
      <rPr>
        <sz val="9"/>
        <color rgb="FF555555"/>
        <rFont val="Arial"/>
        <family val="2"/>
      </rPr>
      <t xml:space="preserve">) - </t>
    </r>
    <r>
      <rPr>
        <sz val="9"/>
        <color rgb="FF555555"/>
        <rFont val="Noto Sans CJK SC"/>
        <family val="2"/>
      </rPr>
      <t>프로모션이미지 등록가능하게</t>
    </r>
  </si>
  <si>
    <r>
      <rPr>
        <sz val="10"/>
        <color rgb="FF1A1A1A"/>
        <rFont val="Arial"/>
        <family val="2"/>
      </rPr>
      <t>LIST (</t>
    </r>
    <r>
      <rPr>
        <sz val="10"/>
        <color rgb="FF1A1A1A"/>
        <rFont val="Noto Sans CJK SC"/>
        <family val="2"/>
      </rPr>
      <t>검색결과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</si>
  <si>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Arial"/>
        <family val="2"/>
      </rPr>
      <t xml:space="preserve">2depth </t>
    </r>
    <r>
      <rPr>
        <sz val="9"/>
        <color rgb="FF555555"/>
        <rFont val="Noto Sans CJK SC"/>
        <family val="2"/>
      </rPr>
      <t xml:space="preserve">의 리스트페이지 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>랜딩페이지로 사용</t>
    </r>
    <r>
      <rPr>
        <sz val="9"/>
        <color rgb="FF555555"/>
        <rFont val="Arial"/>
        <family val="2"/>
      </rPr>
      <t>)</t>
    </r>
  </si>
  <si>
    <t>인쇄상품</t>
  </si>
  <si>
    <r>
      <rPr>
        <sz val="10"/>
        <color rgb="FF1A1A1A"/>
        <rFont val="Arial"/>
        <family val="2"/>
      </rPr>
      <t xml:space="preserve">A1 </t>
    </r>
    <r>
      <rPr>
        <sz val="10"/>
        <color rgb="FF1A1A1A"/>
        <rFont val="Noto Sans CJK SC"/>
        <family val="2"/>
      </rPr>
      <t>상품 기본정보 세팅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상품코드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주문가능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회원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</si>
  <si>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전체</t>
    </r>
  </si>
  <si>
    <r>
      <rPr>
        <sz val="10"/>
        <color rgb="FF1A1A1A"/>
        <rFont val="Arial"/>
        <family val="2"/>
      </rPr>
      <t xml:space="preserve">A2 </t>
    </r>
    <r>
      <rPr>
        <sz val="10"/>
        <color rgb="FF1A1A1A"/>
        <rFont val="Noto Sans CJK SC"/>
        <family val="2"/>
      </rPr>
      <t>상품별 옵션 목록 불러오기</t>
    </r>
  </si>
  <si>
    <t>진행중</t>
  </si>
  <si>
    <t>상품 종류마다 옵션 구성이 달라 상품별 옵션목록을 제공해야 함</t>
  </si>
  <si>
    <r>
      <rPr>
        <sz val="10"/>
        <color rgb="FF1A1A1A"/>
        <rFont val="Arial"/>
        <family val="2"/>
      </rPr>
      <t xml:space="preserve">B1 </t>
    </r>
    <r>
      <rPr>
        <sz val="10"/>
        <color rgb="FF1A1A1A"/>
        <rFont val="Noto Sans CJK SC"/>
        <family val="2"/>
      </rPr>
      <t>규격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사이즈</t>
    </r>
    <r>
      <rPr>
        <sz val="10"/>
        <color rgb="FF1A1A1A"/>
        <rFont val="Arial"/>
        <family val="2"/>
      </rPr>
      <t xml:space="preserve">) </t>
    </r>
    <r>
      <rPr>
        <sz val="10"/>
        <color rgb="FF1A1A1A"/>
        <rFont val="Noto Sans CJK SC"/>
        <family val="2"/>
      </rPr>
      <t>선택</t>
    </r>
  </si>
  <si>
    <r>
      <rPr>
        <sz val="10"/>
        <color rgb="FF1A1A1A"/>
        <rFont val="Arial"/>
        <family val="2"/>
      </rPr>
      <t xml:space="preserve">B2 </t>
    </r>
    <r>
      <rPr>
        <sz val="10"/>
        <color rgb="FF1A1A1A"/>
        <rFont val="Noto Sans CJK SC"/>
        <family val="2"/>
      </rPr>
      <t>비규격 사용자입력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가로</t>
    </r>
    <r>
      <rPr>
        <sz val="10"/>
        <color rgb="FF1A1A1A"/>
        <rFont val="Arial"/>
        <family val="2"/>
      </rPr>
      <t>×</t>
    </r>
    <r>
      <rPr>
        <sz val="10"/>
        <color rgb="FF1A1A1A"/>
        <rFont val="Noto Sans CJK SC"/>
        <family val="2"/>
      </rPr>
      <t>세로 최소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최대</t>
    </r>
    <r>
      <rPr>
        <sz val="10"/>
        <color rgb="FF1A1A1A"/>
        <rFont val="Arial"/>
        <family val="2"/>
      </rPr>
      <t>)</t>
    </r>
  </si>
  <si>
    <r>
      <rPr>
        <sz val="9"/>
        <color rgb="FF1A1A1A"/>
        <rFont val="Noto Sans CJK SC"/>
        <family val="2"/>
      </rPr>
      <t>가로</t>
    </r>
    <r>
      <rPr>
        <sz val="9"/>
        <color rgb="FF1A1A1A"/>
        <rFont val="Arial"/>
        <family val="2"/>
      </rPr>
      <t>×</t>
    </r>
    <r>
      <rPr>
        <sz val="9"/>
        <color rgb="FF1A1A1A"/>
        <rFont val="Noto Sans CJK SC"/>
        <family val="2"/>
      </rPr>
      <t>세로 직접입력 시 면적으로 가격 계산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</si>
  <si>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실사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아크릴</t>
    </r>
  </si>
  <si>
    <r>
      <rPr>
        <sz val="10"/>
        <color rgb="FF1A1A1A"/>
        <rFont val="Arial"/>
        <family val="2"/>
      </rPr>
      <t xml:space="preserve">B3 </t>
    </r>
    <r>
      <rPr>
        <sz val="10"/>
        <color rgb="FF1A1A1A"/>
        <rFont val="Noto Sans CJK SC"/>
        <family val="2"/>
      </rPr>
      <t>수량 선택</t>
    </r>
    <r>
      <rPr>
        <sz val="10"/>
        <color rgb="FF1A1A1A"/>
        <rFont val="Arial"/>
        <family val="2"/>
      </rPr>
      <t>+</t>
    </r>
    <r>
      <rPr>
        <sz val="10"/>
        <color rgb="FF1A1A1A"/>
        <rFont val="Noto Sans CJK SC"/>
        <family val="2"/>
      </rPr>
      <t>직접입력</t>
    </r>
  </si>
  <si>
    <r>
      <rPr>
        <sz val="10"/>
        <color rgb="FF1A1A1A"/>
        <rFont val="Arial"/>
        <family val="2"/>
      </rPr>
      <t xml:space="preserve">B4 </t>
    </r>
    <r>
      <rPr>
        <sz val="10"/>
        <color rgb="FF1A1A1A"/>
        <rFont val="Noto Sans CJK SC"/>
        <family val="2"/>
      </rPr>
      <t>종이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소재 선택</t>
    </r>
    <r>
      <rPr>
        <sz val="10"/>
        <color rgb="FF1A1A1A"/>
        <rFont val="Arial"/>
        <family val="2"/>
      </rPr>
      <t>(+</t>
    </r>
    <r>
      <rPr>
        <sz val="10"/>
        <color rgb="FF1A1A1A"/>
        <rFont val="Noto Sans CJK SC"/>
        <family val="2"/>
      </rPr>
      <t>평량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</si>
  <si>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Arial"/>
        <family val="2"/>
      </rPr>
      <t xml:space="preserve">B5 </t>
    </r>
    <r>
      <rPr>
        <sz val="10"/>
        <color rgb="FF1A1A1A"/>
        <rFont val="Noto Sans CJK SC"/>
        <family val="2"/>
      </rPr>
      <t>인쇄 도수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단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양면</t>
    </r>
    <r>
      <rPr>
        <sz val="10"/>
        <color rgb="FF1A1A1A"/>
        <rFont val="Arial"/>
        <family val="2"/>
      </rPr>
      <t>)+</t>
    </r>
    <r>
      <rPr>
        <sz val="10"/>
        <color rgb="FF1A1A1A"/>
        <rFont val="Noto Sans CJK SC"/>
        <family val="2"/>
      </rPr>
      <t>별색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화이트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</si>
  <si>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스티커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책자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캘린더</t>
    </r>
  </si>
  <si>
    <r>
      <rPr>
        <sz val="10"/>
        <color rgb="FF1A1A1A"/>
        <rFont val="Arial"/>
        <family val="2"/>
      </rPr>
      <t xml:space="preserve">B6 </t>
    </r>
    <r>
      <rPr>
        <sz val="10"/>
        <color rgb="FF1A1A1A"/>
        <rFont val="Noto Sans CJK SC"/>
        <family val="2"/>
      </rPr>
      <t>코팅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</si>
  <si>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스티커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책자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실사</t>
    </r>
  </si>
  <si>
    <r>
      <rPr>
        <sz val="10"/>
        <color rgb="FF1A1A1A"/>
        <rFont val="Arial"/>
        <family val="2"/>
      </rPr>
      <t xml:space="preserve">B7 </t>
    </r>
    <r>
      <rPr>
        <sz val="10"/>
        <color rgb="FF1A1A1A"/>
        <rFont val="Noto Sans CJK SC"/>
        <family val="2"/>
      </rPr>
      <t>커팅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조각수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모서리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</si>
  <si>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스티커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아크릴</t>
    </r>
  </si>
  <si>
    <r>
      <rPr>
        <sz val="10"/>
        <color rgb="FF1A1A1A"/>
        <rFont val="Arial"/>
        <family val="2"/>
      </rPr>
      <t xml:space="preserve">B8 </t>
    </r>
    <r>
      <rPr>
        <sz val="10"/>
        <color rgb="FF1A1A1A"/>
        <rFont val="Noto Sans CJK SC"/>
        <family val="2"/>
      </rPr>
      <t>접지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오시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미싱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</si>
  <si>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디지털</t>
    </r>
  </si>
  <si>
    <r>
      <rPr>
        <sz val="10"/>
        <color rgb="FF1A1A1A"/>
        <rFont val="Arial"/>
        <family val="2"/>
      </rPr>
      <t xml:space="preserve">B9 </t>
    </r>
    <r>
      <rPr>
        <sz val="10"/>
        <color rgb="FF1A1A1A"/>
        <rFont val="Noto Sans CJK SC"/>
        <family val="2"/>
      </rPr>
      <t>제본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방향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면지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링컬러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바인더링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투명커버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</si>
  <si>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책자</t>
    </r>
  </si>
  <si>
    <r>
      <rPr>
        <sz val="10"/>
        <color rgb="FF1A1A1A"/>
        <rFont val="Arial"/>
        <family val="2"/>
      </rPr>
      <t xml:space="preserve">B10 </t>
    </r>
    <r>
      <rPr>
        <sz val="10"/>
        <color rgb="FF1A1A1A"/>
        <rFont val="Noto Sans CJK SC"/>
        <family val="2"/>
      </rPr>
      <t>내지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표지 그룹 분리</t>
    </r>
  </si>
  <si>
    <r>
      <rPr>
        <sz val="10"/>
        <color rgb="FF1A1A1A"/>
        <rFont val="Arial"/>
        <family val="2"/>
      </rPr>
      <t xml:space="preserve">B11 </t>
    </r>
    <r>
      <rPr>
        <sz val="10"/>
        <color rgb="FF1A1A1A"/>
        <rFont val="Noto Sans CJK SC"/>
        <family val="2"/>
      </rPr>
      <t>박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형압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앞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뒤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크기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박칼라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</si>
  <si>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책자</t>
    </r>
  </si>
  <si>
    <r>
      <rPr>
        <sz val="10"/>
        <color rgb="FF1A1A1A"/>
        <rFont val="Arial"/>
        <family val="2"/>
      </rPr>
      <t xml:space="preserve">B12 </t>
    </r>
    <r>
      <rPr>
        <sz val="10"/>
        <color rgb="FF1A1A1A"/>
        <rFont val="Noto Sans CJK SC"/>
        <family val="2"/>
      </rPr>
      <t>캘린더 가공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장수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</si>
  <si>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캘린더</t>
    </r>
  </si>
  <si>
    <r>
      <rPr>
        <sz val="10"/>
        <color rgb="FF1A1A1A"/>
        <rFont val="Arial"/>
        <family val="2"/>
      </rPr>
      <t xml:space="preserve">B13 </t>
    </r>
    <r>
      <rPr>
        <sz val="10"/>
        <color rgb="FF1A1A1A"/>
        <rFont val="Noto Sans CJK SC"/>
        <family val="2"/>
      </rPr>
      <t>추가상품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봉투 등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</si>
  <si>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스티커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실사 등</t>
    </r>
  </si>
  <si>
    <r>
      <rPr>
        <sz val="10"/>
        <color rgb="FF1A1A1A"/>
        <rFont val="Arial"/>
        <family val="2"/>
      </rPr>
      <t xml:space="preserve">B14 </t>
    </r>
    <r>
      <rPr>
        <sz val="10"/>
        <color rgb="FF1A1A1A"/>
        <rFont val="Noto Sans CJK SC"/>
        <family val="2"/>
      </rPr>
      <t>개별포장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</si>
  <si>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책자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캘린더</t>
    </r>
  </si>
  <si>
    <r>
      <rPr>
        <sz val="10"/>
        <color rgb="FF1A1A1A"/>
        <rFont val="Arial"/>
        <family val="2"/>
      </rPr>
      <t xml:space="preserve">B15 </t>
    </r>
    <r>
      <rPr>
        <sz val="10"/>
        <color rgb="FF1A1A1A"/>
        <rFont val="Noto Sans CJK SC"/>
        <family val="2"/>
      </rPr>
      <t>옵션 제약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조건부 노출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같이 못 고르는 조합 등</t>
    </r>
    <r>
      <rPr>
        <sz val="10"/>
        <color rgb="FF1A1A1A"/>
        <rFont val="Arial"/>
        <family val="2"/>
      </rPr>
      <t>)</t>
    </r>
  </si>
  <si>
    <r>
      <rPr>
        <sz val="9"/>
        <color rgb="FF1A1A1A"/>
        <rFont val="Noto Sans CJK SC"/>
        <family val="2"/>
      </rPr>
      <t>옵션끼리의 규칙</t>
    </r>
    <r>
      <rPr>
        <sz val="9"/>
        <color rgb="FF1A1A1A"/>
        <rFont val="Arial"/>
        <family val="2"/>
      </rPr>
      <t>(</t>
    </r>
    <r>
      <rPr>
        <sz val="9"/>
        <color rgb="FF1A1A1A"/>
        <rFont val="Noto Sans CJK SC"/>
        <family val="2"/>
      </rPr>
      <t>같이 못 고르는 조합</t>
    </r>
    <r>
      <rPr>
        <sz val="9"/>
        <color rgb="FF1A1A1A"/>
        <rFont val="Arial"/>
        <family val="2"/>
      </rPr>
      <t>·</t>
    </r>
    <r>
      <rPr>
        <sz val="9"/>
        <color rgb="FF1A1A1A"/>
        <rFont val="Noto Sans CJK SC"/>
        <family val="2"/>
      </rPr>
      <t>조건부 노출</t>
    </r>
    <r>
      <rPr>
        <sz val="9"/>
        <color rgb="FF1A1A1A"/>
        <rFont val="Arial"/>
        <family val="2"/>
      </rPr>
      <t>)</t>
    </r>
    <r>
      <rPr>
        <sz val="9"/>
        <color rgb="FF1A1A1A"/>
        <rFont val="Noto Sans CJK SC"/>
        <family val="2"/>
      </rPr>
      <t>을 데이터로 정리해야 함</t>
    </r>
  </si>
  <si>
    <r>
      <rPr>
        <sz val="10"/>
        <color rgb="FF1A1A1A"/>
        <rFont val="Arial"/>
        <family val="2"/>
      </rPr>
      <t xml:space="preserve">C1 </t>
    </r>
    <r>
      <rPr>
        <sz val="10"/>
        <color rgb="FF1A1A1A"/>
        <rFont val="Noto Sans CJK SC"/>
        <family val="2"/>
      </rPr>
      <t>옵션 변경 시 가격 실시간 재계산</t>
    </r>
  </si>
  <si>
    <t>XL</t>
  </si>
  <si>
    <r>
      <rPr>
        <sz val="9"/>
        <color rgb="FF1A1A1A"/>
        <rFont val="Noto Sans CJK SC"/>
        <family val="2"/>
      </rPr>
      <t xml:space="preserve">상품 종류별로 가격 계산 방식이 다름 </t>
    </r>
    <r>
      <rPr>
        <sz val="9"/>
        <color rgb="FF1A1A1A"/>
        <rFont val="Arial"/>
        <family val="2"/>
      </rPr>
      <t>(</t>
    </r>
    <r>
      <rPr>
        <sz val="9"/>
        <color rgb="FF1A1A1A"/>
        <rFont val="Noto Sans CJK SC"/>
        <family val="2"/>
      </rPr>
      <t>장수기준</t>
    </r>
    <r>
      <rPr>
        <sz val="9"/>
        <color rgb="FF1A1A1A"/>
        <rFont val="Arial"/>
        <family val="2"/>
      </rPr>
      <t>·</t>
    </r>
    <r>
      <rPr>
        <sz val="9"/>
        <color rgb="FF1A1A1A"/>
        <rFont val="Noto Sans CJK SC"/>
        <family val="2"/>
      </rPr>
      <t>면적기준</t>
    </r>
    <r>
      <rPr>
        <sz val="9"/>
        <color rgb="FF1A1A1A"/>
        <rFont val="Arial"/>
        <family val="2"/>
      </rPr>
      <t>·</t>
    </r>
    <r>
      <rPr>
        <sz val="9"/>
        <color rgb="FF1A1A1A"/>
        <rFont val="Noto Sans CJK SC"/>
        <family val="2"/>
      </rPr>
      <t>단가기준</t>
    </r>
    <r>
      <rPr>
        <sz val="9"/>
        <color rgb="FF1A1A1A"/>
        <rFont val="Arial"/>
        <family val="2"/>
      </rPr>
      <t>)</t>
    </r>
  </si>
  <si>
    <r>
      <rPr>
        <sz val="10"/>
        <color rgb="FF1A1A1A"/>
        <rFont val="Arial"/>
        <family val="2"/>
      </rPr>
      <t xml:space="preserve">C2 </t>
    </r>
    <r>
      <rPr>
        <sz val="10"/>
        <color rgb="FF1A1A1A"/>
        <rFont val="Noto Sans CJK SC"/>
        <family val="2"/>
      </rPr>
      <t>수량별 가격표 보기</t>
    </r>
  </si>
  <si>
    <r>
      <rPr>
        <sz val="10"/>
        <color rgb="FF1A1A1A"/>
        <rFont val="Arial"/>
        <family val="2"/>
      </rPr>
      <t xml:space="preserve">C3 </t>
    </r>
    <r>
      <rPr>
        <sz val="10"/>
        <color rgb="FF1A1A1A"/>
        <rFont val="Noto Sans CJK SC"/>
        <family val="2"/>
      </rPr>
      <t>견적서 생성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다운로드</t>
    </r>
  </si>
  <si>
    <r>
      <rPr>
        <sz val="10"/>
        <color rgb="FF1A1A1A"/>
        <rFont val="Arial"/>
        <family val="2"/>
      </rPr>
      <t xml:space="preserve">D1 </t>
    </r>
    <r>
      <rPr>
        <sz val="10"/>
        <color rgb="FF1A1A1A"/>
        <rFont val="Noto Sans CJK SC"/>
        <family val="2"/>
      </rPr>
      <t>파일 업로드</t>
    </r>
    <r>
      <rPr>
        <sz val="10"/>
        <color rgb="FF1A1A1A"/>
        <rFont val="Arial"/>
        <family val="2"/>
      </rPr>
      <t>(PDF)</t>
    </r>
  </si>
  <si>
    <r>
      <rPr>
        <sz val="10"/>
        <color rgb="FF1A1A1A"/>
        <rFont val="Arial"/>
        <family val="2"/>
      </rPr>
      <t xml:space="preserve">D2 </t>
    </r>
    <r>
      <rPr>
        <sz val="10"/>
        <color rgb="FF1A1A1A"/>
        <rFont val="Noto Sans CJK SC"/>
        <family val="2"/>
      </rPr>
      <t>편집상품 미리보기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썸네일</t>
    </r>
  </si>
  <si>
    <r>
      <rPr>
        <sz val="10"/>
        <color rgb="FF1A1A1A"/>
        <rFont val="Arial"/>
        <family val="2"/>
      </rPr>
      <t xml:space="preserve">D3 </t>
    </r>
    <r>
      <rPr>
        <sz val="10"/>
        <color rgb="FF1A1A1A"/>
        <rFont val="Noto Sans CJK SC"/>
        <family val="2"/>
      </rPr>
      <t>온라인 에디터 연동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템플릿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편집</t>
    </r>
    <r>
      <rPr>
        <sz val="10"/>
        <color rgb="FF1A1A1A"/>
        <rFont val="Arial"/>
        <family val="2"/>
      </rPr>
      <t>)</t>
    </r>
  </si>
  <si>
    <t>협업</t>
  </si>
  <si>
    <t>온라인 디자인 편집기 도입 여부 결정 필요</t>
  </si>
  <si>
    <r>
      <rPr>
        <sz val="10"/>
        <color rgb="FF1A1A1A"/>
        <rFont val="Arial"/>
        <family val="2"/>
      </rPr>
      <t xml:space="preserve">D4 </t>
    </r>
    <r>
      <rPr>
        <sz val="10"/>
        <color rgb="FF1A1A1A"/>
        <rFont val="Noto Sans CJK SC"/>
        <family val="2"/>
      </rPr>
      <t>가변데이터 인쇄</t>
    </r>
    <r>
      <rPr>
        <sz val="10"/>
        <color rgb="FF1A1A1A"/>
        <rFont val="Arial"/>
        <family val="2"/>
      </rPr>
      <t>(VDP)</t>
    </r>
  </si>
  <si>
    <r>
      <rPr>
        <sz val="9"/>
        <color rgb="FF1A1A1A"/>
        <rFont val="Noto Sans CJK SC"/>
        <family val="2"/>
      </rPr>
      <t xml:space="preserve">디자인 편집기에 딸린 기능 </t>
    </r>
    <r>
      <rPr>
        <sz val="9"/>
        <color rgb="FF1A1A1A"/>
        <rFont val="Arial"/>
        <family val="2"/>
      </rPr>
      <t>(</t>
    </r>
    <r>
      <rPr>
        <sz val="9"/>
        <color rgb="FF1A1A1A"/>
        <rFont val="Noto Sans CJK SC"/>
        <family val="2"/>
      </rPr>
      <t>후순위</t>
    </r>
    <r>
      <rPr>
        <sz val="9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</si>
  <si>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명함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라벨</t>
    </r>
  </si>
  <si>
    <r>
      <rPr>
        <sz val="10"/>
        <color rgb="FF1A1A1A"/>
        <rFont val="Arial"/>
        <family val="2"/>
      </rPr>
      <t xml:space="preserve">D5 </t>
    </r>
    <r>
      <rPr>
        <sz val="10"/>
        <color rgb="FF1A1A1A"/>
        <rFont val="Noto Sans CJK SC"/>
        <family val="2"/>
      </rPr>
      <t>표지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작업 템플릿 다운로드</t>
    </r>
  </si>
  <si>
    <r>
      <rPr>
        <sz val="9"/>
        <color rgb="FF1A1A1A"/>
        <rFont val="Noto Sans CJK SC"/>
        <family val="2"/>
      </rPr>
      <t>자료는 인쇄팀</t>
    </r>
    <r>
      <rPr>
        <sz val="9"/>
        <color rgb="FF1A1A1A"/>
        <rFont val="Arial"/>
        <family val="2"/>
      </rPr>
      <t xml:space="preserve">, </t>
    </r>
    <r>
      <rPr>
        <sz val="9"/>
        <color rgb="FF1A1A1A"/>
        <rFont val="Noto Sans CJK SC"/>
        <family val="2"/>
      </rPr>
      <t>화면은 쇼핑팀이 함께 작업</t>
    </r>
  </si>
  <si>
    <r>
      <rPr>
        <sz val="9"/>
        <color rgb="FF555555"/>
        <rFont val="Noto Sans CJK SC"/>
        <family val="2"/>
      </rPr>
      <t>적용 상품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Noto Sans CJK SC"/>
        <family val="2"/>
      </rPr>
      <t>책자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전체</t>
    </r>
  </si>
  <si>
    <r>
      <rPr>
        <sz val="10"/>
        <color rgb="FF1A1A1A"/>
        <rFont val="Arial"/>
        <family val="2"/>
      </rPr>
      <t xml:space="preserve">E1 </t>
    </r>
    <r>
      <rPr>
        <sz val="10"/>
        <color rgb="FF1A1A1A"/>
        <rFont val="Noto Sans CJK SC"/>
        <family val="2"/>
      </rPr>
      <t>규격 가이드 모달</t>
    </r>
  </si>
  <si>
    <r>
      <rPr>
        <sz val="10"/>
        <color rgb="FF1A1A1A"/>
        <rFont val="Arial"/>
        <family val="2"/>
      </rPr>
      <t xml:space="preserve">E2 </t>
    </r>
    <r>
      <rPr>
        <sz val="10"/>
        <color rgb="FF1A1A1A"/>
        <rFont val="Noto Sans CJK SC"/>
        <family val="2"/>
      </rPr>
      <t>인쇄영역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도련 가이드</t>
    </r>
  </si>
  <si>
    <r>
      <rPr>
        <sz val="10"/>
        <color rgb="FF1A1A1A"/>
        <rFont val="Arial"/>
        <family val="2"/>
      </rPr>
      <t xml:space="preserve">E3 </t>
    </r>
    <r>
      <rPr>
        <sz val="10"/>
        <color rgb="FF1A1A1A"/>
        <rFont val="Noto Sans CJK SC"/>
        <family val="2"/>
      </rPr>
      <t>주문가능 자재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용지</t>
    </r>
    <r>
      <rPr>
        <sz val="10"/>
        <color rgb="FF1A1A1A"/>
        <rFont val="Arial"/>
        <family val="2"/>
      </rPr>
      <t xml:space="preserve">) </t>
    </r>
    <r>
      <rPr>
        <sz val="10"/>
        <color rgb="FF1A1A1A"/>
        <rFont val="Noto Sans CJK SC"/>
        <family val="2"/>
      </rPr>
      <t>목록 모달</t>
    </r>
  </si>
  <si>
    <r>
      <rPr>
        <sz val="10"/>
        <color rgb="FF1A1A1A"/>
        <rFont val="Arial"/>
        <family val="2"/>
      </rPr>
      <t xml:space="preserve">E4 </t>
    </r>
    <r>
      <rPr>
        <sz val="10"/>
        <color rgb="FF1A1A1A"/>
        <rFont val="Noto Sans CJK SC"/>
        <family val="2"/>
      </rPr>
      <t>작업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재단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블리드 사이즈 안내</t>
    </r>
  </si>
  <si>
    <r>
      <rPr>
        <sz val="10"/>
        <color rgb="FF1A1A1A"/>
        <rFont val="Arial"/>
        <family val="2"/>
      </rPr>
      <t xml:space="preserve">F1 </t>
    </r>
    <r>
      <rPr>
        <sz val="10"/>
        <color rgb="FF1A1A1A"/>
        <rFont val="Noto Sans CJK SC"/>
        <family val="2"/>
      </rPr>
      <t>주문 전 검증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필수옵션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파일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로그인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</si>
  <si>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Arial"/>
        <family val="2"/>
      </rPr>
      <t xml:space="preserve">F2 </t>
    </r>
    <r>
      <rPr>
        <sz val="10"/>
        <color rgb="FF1A1A1A"/>
        <rFont val="Noto Sans CJK SC"/>
        <family val="2"/>
      </rPr>
      <t>주문 데이터 생성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선택 옵션을 주문으로 변환</t>
    </r>
    <r>
      <rPr>
        <sz val="10"/>
        <color rgb="FF1A1A1A"/>
        <rFont val="Arial"/>
        <family val="2"/>
      </rPr>
      <t>)</t>
    </r>
  </si>
  <si>
    <r>
      <rPr>
        <sz val="9"/>
        <color rgb="FF1A1A1A"/>
        <rFont val="Noto Sans CJK SC"/>
        <family val="2"/>
      </rPr>
      <t xml:space="preserve">주문수량은 </t>
    </r>
    <r>
      <rPr>
        <sz val="9"/>
        <color rgb="FF1A1A1A"/>
        <rFont val="Arial"/>
        <family val="2"/>
      </rPr>
      <t>1</t>
    </r>
    <r>
      <rPr>
        <sz val="9"/>
        <color rgb="FF1A1A1A"/>
        <rFont val="Noto Sans CJK SC"/>
        <family val="2"/>
      </rPr>
      <t xml:space="preserve">로 두고 총액을 옵션 금액으로 처리 </t>
    </r>
    <r>
      <rPr>
        <sz val="9"/>
        <color rgb="FF1A1A1A"/>
        <rFont val="Arial"/>
        <family val="2"/>
      </rPr>
      <t>(</t>
    </r>
    <r>
      <rPr>
        <sz val="9"/>
        <color rgb="FF1A1A1A"/>
        <rFont val="Noto Sans CJK SC"/>
        <family val="2"/>
      </rPr>
      <t>쇼핑몰 연동 방식</t>
    </r>
    <r>
      <rPr>
        <sz val="9"/>
        <color rgb="FF1A1A1A"/>
        <rFont val="Arial"/>
        <family val="2"/>
      </rPr>
      <t>)</t>
    </r>
  </si>
  <si>
    <r>
      <rPr>
        <sz val="10"/>
        <color rgb="FF1A1A1A"/>
        <rFont val="Arial"/>
        <family val="2"/>
      </rPr>
      <t xml:space="preserve">F3 </t>
    </r>
    <r>
      <rPr>
        <sz val="10"/>
        <color rgb="FF1A1A1A"/>
        <rFont val="Noto Sans CJK SC"/>
        <family val="2"/>
      </rPr>
      <t>우측 플로팅 주문박스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가격</t>
    </r>
    <r>
      <rPr>
        <sz val="10"/>
        <color rgb="FF1A1A1A"/>
        <rFont val="Arial"/>
        <family val="2"/>
      </rPr>
      <t>·CTA)</t>
    </r>
  </si>
  <si>
    <r>
      <rPr>
        <sz val="10"/>
        <color rgb="FF1A1A1A"/>
        <rFont val="Arial"/>
        <family val="2"/>
      </rPr>
      <t xml:space="preserve">F4 </t>
    </r>
    <r>
      <rPr>
        <sz val="10"/>
        <color rgb="FF1A1A1A"/>
        <rFont val="Noto Sans CJK SC"/>
        <family val="2"/>
      </rPr>
      <t>장바구니 담기</t>
    </r>
  </si>
  <si>
    <r>
      <rPr>
        <sz val="10"/>
        <color rgb="FF1A1A1A"/>
        <rFont val="Arial"/>
        <family val="2"/>
      </rPr>
      <t xml:space="preserve">F5 </t>
    </r>
    <r>
      <rPr>
        <sz val="10"/>
        <color rgb="FF1A1A1A"/>
        <rFont val="Noto Sans CJK SC"/>
        <family val="2"/>
      </rPr>
      <t>옵션 보관함 저장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불러오기</t>
    </r>
  </si>
  <si>
    <r>
      <rPr>
        <sz val="10"/>
        <color rgb="FF1A1A1A"/>
        <rFont val="Arial"/>
        <family val="2"/>
      </rPr>
      <t xml:space="preserve">G1 </t>
    </r>
    <r>
      <rPr>
        <sz val="10"/>
        <color rgb="FF1A1A1A"/>
        <rFont val="Noto Sans CJK SC"/>
        <family val="2"/>
      </rPr>
      <t>상세설명 콘텐츠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 xml:space="preserve">하단 </t>
    </r>
    <r>
      <rPr>
        <sz val="10"/>
        <color rgb="FF1A1A1A"/>
        <rFont val="Arial"/>
        <family val="2"/>
      </rPr>
      <t>detail)</t>
    </r>
  </si>
  <si>
    <t>고객센터</t>
  </si>
  <si>
    <t>공지사항</t>
  </si>
  <si>
    <r>
      <rPr>
        <sz val="9"/>
        <color rgb="FF555555"/>
        <rFont val="Noto Sans CJK SC"/>
        <family val="2"/>
      </rPr>
      <t>구분필요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 xml:space="preserve">이벤트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 xml:space="preserve">공지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>상품</t>
    </r>
    <r>
      <rPr>
        <sz val="9"/>
        <color rgb="FF555555"/>
        <rFont val="Arial"/>
        <family val="2"/>
      </rPr>
      <t>)</t>
    </r>
  </si>
  <si>
    <t>자주묻는질문</t>
  </si>
  <si>
    <r>
      <rPr>
        <sz val="9"/>
        <color rgb="FF555555"/>
        <rFont val="Noto Sans CJK SC"/>
        <family val="2"/>
      </rPr>
      <t>구분필요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>가입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로그인</t>
    </r>
    <r>
      <rPr>
        <sz val="9"/>
        <color rgb="FF555555"/>
        <rFont val="Arial"/>
        <family val="2"/>
      </rPr>
      <t>,</t>
    </r>
    <r>
      <rPr>
        <sz val="9"/>
        <color rgb="FF555555"/>
        <rFont val="Noto Sans CJK SC"/>
        <family val="2"/>
      </rPr>
      <t>주문배송결제</t>
    </r>
    <r>
      <rPr>
        <sz val="9"/>
        <color rgb="FF555555"/>
        <rFont val="Arial"/>
        <family val="2"/>
      </rPr>
      <t>,</t>
    </r>
    <r>
      <rPr>
        <sz val="9"/>
        <color rgb="FF555555"/>
        <rFont val="Noto Sans CJK SC"/>
        <family val="2"/>
      </rPr>
      <t>취소환불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증빙서류발급</t>
    </r>
  </si>
  <si>
    <r>
      <rPr>
        <sz val="10"/>
        <color rgb="FF1A1A1A"/>
        <rFont val="Noto Sans CJK SC"/>
        <family val="2"/>
      </rPr>
      <t>상품</t>
    </r>
    <r>
      <rPr>
        <sz val="10"/>
        <color rgb="FF1A1A1A"/>
        <rFont val="Arial"/>
        <family val="2"/>
      </rPr>
      <t xml:space="preserve">Q&amp;A + </t>
    </r>
    <r>
      <rPr>
        <sz val="10"/>
        <color rgb="FF1A1A1A"/>
        <rFont val="Noto Sans CJK SC"/>
        <family val="2"/>
      </rPr>
      <t>문의하기</t>
    </r>
  </si>
  <si>
    <t>대량주문 견적문의</t>
  </si>
  <si>
    <r>
      <rPr>
        <sz val="9"/>
        <color rgb="FF1A1A1A"/>
        <rFont val="Noto Sans CJK SC"/>
        <family val="2"/>
      </rPr>
      <t xml:space="preserve">대량주문 견적 화면이 고객용에도 필요 </t>
    </r>
    <r>
      <rPr>
        <sz val="9"/>
        <color rgb="FF1A1A1A"/>
        <rFont val="Arial"/>
        <family val="2"/>
      </rPr>
      <t>(</t>
    </r>
    <r>
      <rPr>
        <sz val="9"/>
        <color rgb="FF1A1A1A"/>
        <rFont val="Noto Sans CJK SC"/>
        <family val="2"/>
      </rPr>
      <t>현재 빠짐</t>
    </r>
    <r>
      <rPr>
        <sz val="9"/>
        <color rgb="FF1A1A1A"/>
        <rFont val="Arial"/>
        <family val="2"/>
      </rPr>
      <t>)</t>
    </r>
  </si>
  <si>
    <r>
      <rPr>
        <sz val="9"/>
        <color rgb="FF555555"/>
        <rFont val="Arial"/>
        <family val="2"/>
      </rPr>
      <t xml:space="preserve">B2B </t>
    </r>
    <r>
      <rPr>
        <sz val="9"/>
        <color rgb="FF555555"/>
        <rFont val="Noto Sans CJK SC"/>
        <family val="2"/>
      </rPr>
      <t>기업고객 핵심</t>
    </r>
  </si>
  <si>
    <t>기업인쇄상담</t>
  </si>
  <si>
    <t>기업서비스신청하기와 연계</t>
  </si>
  <si>
    <t>디자인상담</t>
  </si>
  <si>
    <r>
      <rPr>
        <sz val="10"/>
        <color rgb="FF1A1A1A"/>
        <rFont val="Noto Sans CJK SC"/>
        <family val="2"/>
      </rPr>
      <t xml:space="preserve">비회원 주문조회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주문번호</t>
    </r>
    <r>
      <rPr>
        <sz val="10"/>
        <color rgb="FF1A1A1A"/>
        <rFont val="Arial"/>
        <family val="2"/>
      </rPr>
      <t>+</t>
    </r>
    <r>
      <rPr>
        <sz val="10"/>
        <color rgb="FF1A1A1A"/>
        <rFont val="Noto Sans CJK SC"/>
        <family val="2"/>
      </rPr>
      <t>이메일</t>
    </r>
    <r>
      <rPr>
        <sz val="10"/>
        <color rgb="FF1A1A1A"/>
        <rFont val="Arial"/>
        <family val="2"/>
      </rPr>
      <t>+</t>
    </r>
    <r>
      <rPr>
        <sz val="10"/>
        <color rgb="FF1A1A1A"/>
        <rFont val="Noto Sans CJK SC"/>
        <family val="2"/>
      </rPr>
      <t>휴대폰</t>
    </r>
    <r>
      <rPr>
        <sz val="10"/>
        <color rgb="FF1A1A1A"/>
        <rFont val="Arial"/>
        <family val="2"/>
      </rPr>
      <t>)</t>
    </r>
  </si>
  <si>
    <t>증빙서류 발급 연동 누락</t>
  </si>
  <si>
    <t>결제</t>
  </si>
  <si>
    <r>
      <rPr>
        <sz val="10"/>
        <color rgb="FF1A1A1A"/>
        <rFont val="Noto Sans CJK SC"/>
        <family val="2"/>
      </rPr>
      <t xml:space="preserve">수동카드결제 </t>
    </r>
    <r>
      <rPr>
        <sz val="10"/>
        <color rgb="FF1A1A1A"/>
        <rFont val="Arial"/>
        <family val="2"/>
      </rPr>
      <t>(PC+</t>
    </r>
    <r>
      <rPr>
        <sz val="10"/>
        <color rgb="FF1A1A1A"/>
        <rFont val="Noto Sans CJK SC"/>
        <family val="2"/>
      </rPr>
      <t>모바일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</si>
  <si>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오프라인 전용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Noto Sans CJK SC"/>
        <family val="2"/>
      </rPr>
      <t>우선순위 낮음</t>
    </r>
  </si>
  <si>
    <t>주문</t>
  </si>
  <si>
    <r>
      <rPr>
        <sz val="10"/>
        <color rgb="FF1A1A1A"/>
        <rFont val="Noto Sans CJK SC"/>
        <family val="2"/>
      </rPr>
      <t>파일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편집 정보입력</t>
    </r>
  </si>
  <si>
    <r>
      <rPr>
        <sz val="10"/>
        <color rgb="FF1A1A1A"/>
        <rFont val="Noto Sans CJK SC"/>
        <family val="2"/>
      </rPr>
      <t>보관함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장바구니</t>
    </r>
  </si>
  <si>
    <t>배송정보입력</t>
  </si>
  <si>
    <r>
      <rPr>
        <sz val="9"/>
        <color rgb="FF1A1A1A"/>
        <rFont val="Noto Sans CJK SC"/>
        <family val="2"/>
      </rPr>
      <t>배송비</t>
    </r>
    <r>
      <rPr>
        <sz val="9"/>
        <color rgb="FF1A1A1A"/>
        <rFont val="Arial"/>
        <family val="2"/>
      </rPr>
      <t>·</t>
    </r>
    <r>
      <rPr>
        <sz val="9"/>
        <color rgb="FF1A1A1A"/>
        <rFont val="Noto Sans CJK SC"/>
        <family val="2"/>
      </rPr>
      <t xml:space="preserve">도서산간 규칙 결정 필요 </t>
    </r>
    <r>
      <rPr>
        <sz val="9"/>
        <color rgb="FF1A1A1A"/>
        <rFont val="Arial"/>
        <family val="2"/>
      </rPr>
      <t>(PM)</t>
    </r>
  </si>
  <si>
    <r>
      <rPr>
        <sz val="9"/>
        <color rgb="FF555555"/>
        <rFont val="Noto Sans CJK SC"/>
        <family val="2"/>
      </rPr>
      <t xml:space="preserve">도서산간 추가비용 적용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>배송비 제약조건</t>
    </r>
  </si>
  <si>
    <t>배송지목록</t>
  </si>
  <si>
    <t>배송지입력</t>
  </si>
  <si>
    <r>
      <rPr>
        <sz val="10"/>
        <color rgb="FF1A1A1A"/>
        <rFont val="Noto Sans CJK SC"/>
        <family val="2"/>
      </rPr>
      <t xml:space="preserve">결제하기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이니시스 연동</t>
    </r>
    <r>
      <rPr>
        <sz val="10"/>
        <color rgb="FF1A1A1A"/>
        <rFont val="Arial"/>
        <family val="2"/>
      </rPr>
      <t>)</t>
    </r>
  </si>
  <si>
    <r>
      <rPr>
        <sz val="9"/>
        <color rgb="FF1A1A1A"/>
        <rFont val="Noto Sans CJK SC"/>
        <family val="2"/>
      </rPr>
      <t xml:space="preserve">이니시스 결제 계약 먼저 </t>
    </r>
    <r>
      <rPr>
        <sz val="9"/>
        <color rgb="FF1A1A1A"/>
        <rFont val="Arial"/>
        <family val="2"/>
      </rPr>
      <t xml:space="preserve">/ </t>
    </r>
    <r>
      <rPr>
        <sz val="9"/>
        <color rgb="FF1A1A1A"/>
        <rFont val="Noto Sans CJK SC"/>
        <family val="2"/>
      </rPr>
      <t xml:space="preserve">간편결제는 다음 단계 </t>
    </r>
    <r>
      <rPr>
        <sz val="9"/>
        <color rgb="FF1A1A1A"/>
        <rFont val="Arial"/>
        <family val="2"/>
      </rPr>
      <t>(PM)</t>
    </r>
  </si>
  <si>
    <r>
      <rPr>
        <sz val="9"/>
        <color rgb="FF555555"/>
        <rFont val="Arial"/>
        <family val="2"/>
      </rPr>
      <t>*</t>
    </r>
    <r>
      <rPr>
        <sz val="9"/>
        <color rgb="FF555555"/>
        <rFont val="Noto Sans CJK SC"/>
        <family val="2"/>
      </rPr>
      <t>간편결제 연동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 xml:space="preserve">네이버페이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 xml:space="preserve">카카오페이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>토스페이</t>
    </r>
    <r>
      <rPr>
        <sz val="9"/>
        <color rgb="FF555555"/>
        <rFont val="Arial"/>
        <family val="2"/>
      </rPr>
      <t>) *</t>
    </r>
    <r>
      <rPr>
        <sz val="9"/>
        <color rgb="FF555555"/>
        <rFont val="Noto Sans CJK SC"/>
        <family val="2"/>
      </rPr>
      <t>포인트로 전액 결제가능</t>
    </r>
  </si>
  <si>
    <r>
      <rPr>
        <sz val="10"/>
        <color rgb="FF1A1A1A"/>
        <rFont val="Noto Sans CJK SC"/>
        <family val="2"/>
      </rPr>
      <t xml:space="preserve">주문완료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주문완료 메일 발송</t>
    </r>
  </si>
  <si>
    <t>디자인 의뢰하기</t>
  </si>
  <si>
    <r>
      <rPr>
        <sz val="9"/>
        <color rgb="FF1A1A1A"/>
        <rFont val="Noto Sans CJK SC"/>
        <family val="2"/>
      </rPr>
      <t xml:space="preserve">수작 브랜드 유지 여부 결정 필요 </t>
    </r>
    <r>
      <rPr>
        <sz val="9"/>
        <color rgb="FF1A1A1A"/>
        <rFont val="Arial"/>
        <family val="2"/>
      </rPr>
      <t>(PM)</t>
    </r>
  </si>
  <si>
    <r>
      <rPr>
        <sz val="9"/>
        <color rgb="FF555555"/>
        <rFont val="Noto Sans CJK SC"/>
        <family val="2"/>
      </rPr>
      <t>수작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상상 브랜드 연계</t>
    </r>
  </si>
  <si>
    <t>정보</t>
  </si>
  <si>
    <t>회사소개</t>
  </si>
  <si>
    <t>이용약관</t>
  </si>
  <si>
    <t>개인정보보호</t>
  </si>
  <si>
    <t>찾아오시는 길</t>
  </si>
  <si>
    <t>가이드</t>
  </si>
  <si>
    <r>
      <rPr>
        <sz val="10"/>
        <color rgb="FF1A1A1A"/>
        <rFont val="Noto Sans CJK SC"/>
        <family val="2"/>
      </rPr>
      <t xml:space="preserve">작업시 유의사항 </t>
    </r>
    <r>
      <rPr>
        <sz val="10"/>
        <color rgb="FF1A1A1A"/>
        <rFont val="Arial"/>
        <family val="2"/>
      </rPr>
      <t>(11</t>
    </r>
    <r>
      <rPr>
        <sz val="10"/>
        <color rgb="FF1A1A1A"/>
        <rFont val="Noto Sans CJK SC"/>
        <family val="2"/>
      </rPr>
      <t>개 가이드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</si>
  <si>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모니터색상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칼라설정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재단선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 xml:space="preserve">용지 등 </t>
    </r>
    <r>
      <rPr>
        <sz val="9"/>
        <color rgb="FF555555"/>
        <rFont val="Arial"/>
        <family val="2"/>
      </rPr>
      <t xml:space="preserve">/ </t>
    </r>
    <r>
      <rPr>
        <sz val="9"/>
        <color rgb="FF555555"/>
        <rFont val="Noto Sans CJK SC"/>
        <family val="2"/>
      </rPr>
      <t>별도 페이지</t>
    </r>
  </si>
  <si>
    <t>마케팅</t>
  </si>
  <si>
    <r>
      <rPr>
        <sz val="10"/>
        <color rgb="FF1A1A1A"/>
        <rFont val="Noto Sans CJK SC"/>
        <family val="2"/>
      </rPr>
      <t xml:space="preserve">랜딩페이지 </t>
    </r>
    <r>
      <rPr>
        <sz val="10"/>
        <color rgb="FF1A1A1A"/>
        <rFont val="Arial"/>
        <family val="2"/>
      </rPr>
      <t>5</t>
    </r>
    <r>
      <rPr>
        <sz val="10"/>
        <color rgb="FF1A1A1A"/>
        <rFont val="Noto Sans CJK SC"/>
        <family val="2"/>
      </rPr>
      <t xml:space="preserve">종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종이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제본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캘린더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파우치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스티커</t>
    </r>
    <r>
      <rPr>
        <sz val="10"/>
        <color rgb="FF1A1A1A"/>
        <rFont val="Arial"/>
        <family val="2"/>
      </rPr>
      <t>)</t>
    </r>
  </si>
  <si>
    <t>별도 마케팅 페이지</t>
  </si>
  <si>
    <t>이용후기 메인</t>
  </si>
  <si>
    <t>체험단 모집 메인</t>
  </si>
  <si>
    <t>상품</t>
  </si>
  <si>
    <t>포장재상품 주문하기</t>
  </si>
  <si>
    <r>
      <rPr>
        <sz val="9"/>
        <color rgb="FF555555"/>
        <rFont val="Noto Sans CJK SC"/>
        <family val="2"/>
      </rPr>
      <t>문의하기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견적인쇄 포함</t>
    </r>
  </si>
  <si>
    <r>
      <rPr>
        <sz val="10"/>
        <color rgb="FF1A1A1A"/>
        <rFont val="Noto Sans CJK SC"/>
        <family val="2"/>
      </rPr>
      <t xml:space="preserve">굿즈상품 주문하기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파우치</t>
    </r>
    <r>
      <rPr>
        <sz val="10"/>
        <color rgb="FF1A1A1A"/>
        <rFont val="Arial"/>
        <family val="2"/>
      </rPr>
      <t>&amp;</t>
    </r>
    <r>
      <rPr>
        <sz val="10"/>
        <color rgb="FF1A1A1A"/>
        <rFont val="Noto Sans CJK SC"/>
        <family val="2"/>
      </rPr>
      <t>백</t>
    </r>
  </si>
  <si>
    <r>
      <rPr>
        <sz val="10"/>
        <color rgb="FF1A1A1A"/>
        <rFont val="Noto Sans CJK SC"/>
        <family val="2"/>
      </rPr>
      <t xml:space="preserve">수작 상품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메인</t>
    </r>
    <r>
      <rPr>
        <sz val="10"/>
        <color rgb="FF1A1A1A"/>
        <rFont val="Arial"/>
        <family val="2"/>
      </rPr>
      <t>+</t>
    </r>
    <r>
      <rPr>
        <sz val="10"/>
        <color rgb="FF1A1A1A"/>
        <rFont val="Noto Sans CJK SC"/>
        <family val="2"/>
      </rPr>
      <t>상품페이지</t>
    </r>
    <r>
      <rPr>
        <sz val="10"/>
        <color rgb="FF1A1A1A"/>
        <rFont val="Arial"/>
        <family val="2"/>
      </rPr>
      <t>)</t>
    </r>
  </si>
  <si>
    <t>수작 브랜드 존치 여부 결정 필요</t>
  </si>
  <si>
    <t>관리자</t>
  </si>
  <si>
    <r>
      <rPr>
        <sz val="10"/>
        <color rgb="FF1A1A1A"/>
        <rFont val="Noto Sans CJK SC"/>
        <family val="2"/>
      </rPr>
      <t>관리자 등록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관리</t>
    </r>
  </si>
  <si>
    <t>거래처</t>
  </si>
  <si>
    <r>
      <rPr>
        <sz val="10"/>
        <color rgb="FF1A1A1A"/>
        <rFont val="Noto Sans CJK SC"/>
        <family val="2"/>
      </rPr>
      <t xml:space="preserve">거래처관리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등록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수정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처리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</si>
  <si>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 xml:space="preserve">오프라인 거래처 </t>
    </r>
    <r>
      <rPr>
        <sz val="9"/>
        <color rgb="FF555555"/>
        <rFont val="Arial"/>
        <family val="2"/>
      </rPr>
      <t xml:space="preserve">+ </t>
    </r>
    <r>
      <rPr>
        <sz val="9"/>
        <color rgb="FF555555"/>
        <rFont val="Noto Sans CJK SC"/>
        <family val="2"/>
      </rPr>
      <t xml:space="preserve">업체목록 </t>
    </r>
    <r>
      <rPr>
        <sz val="9"/>
        <color rgb="FF555555"/>
        <rFont val="Arial"/>
        <family val="2"/>
      </rPr>
      <t xml:space="preserve">.txt </t>
    </r>
    <r>
      <rPr>
        <sz val="9"/>
        <color rgb="FF555555"/>
        <rFont val="Noto Sans CJK SC"/>
        <family val="2"/>
      </rPr>
      <t>생성</t>
    </r>
  </si>
  <si>
    <t>매장게시판</t>
  </si>
  <si>
    <t>원장관리</t>
  </si>
  <si>
    <r>
      <rPr>
        <sz val="10"/>
        <color rgb="FF1A1A1A"/>
        <rFont val="Noto Sans CJK SC"/>
        <family val="2"/>
      </rPr>
      <t xml:space="preserve">계좌관리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원장용 계좌 등록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</si>
  <si>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원장관리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오프라인 거래 등록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</si>
  <si>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Arial"/>
        <family val="2"/>
      </rPr>
      <t xml:space="preserve">Excel </t>
    </r>
    <r>
      <rPr>
        <sz val="9"/>
        <color rgb="FF555555"/>
        <rFont val="Noto Sans CJK SC"/>
        <family val="2"/>
      </rPr>
      <t>다운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청구서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판매내역 매칭</t>
    </r>
  </si>
  <si>
    <t>업체별 미수금</t>
  </si>
  <si>
    <r>
      <rPr>
        <sz val="9"/>
        <color rgb="FF555555"/>
        <rFont val="Arial"/>
        <family val="2"/>
      </rPr>
      <t xml:space="preserve">Excel </t>
    </r>
    <r>
      <rPr>
        <sz val="9"/>
        <color rgb="FF555555"/>
        <rFont val="Noto Sans CJK SC"/>
        <family val="2"/>
      </rPr>
      <t>다운 포함</t>
    </r>
  </si>
  <si>
    <t>상품관리</t>
  </si>
  <si>
    <r>
      <rPr>
        <sz val="10"/>
        <color rgb="FF1A1A1A"/>
        <rFont val="Noto Sans CJK SC"/>
        <family val="2"/>
      </rPr>
      <t>인쇄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 xml:space="preserve">제본 상품등록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미리보기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등록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수정</t>
    </r>
    <r>
      <rPr>
        <sz val="10"/>
        <color rgb="FF1A1A1A"/>
        <rFont val="Arial"/>
        <family val="2"/>
      </rPr>
      <t>)</t>
    </r>
  </si>
  <si>
    <t>기본값설정 포함</t>
  </si>
  <si>
    <t>사이즈선택 팝업</t>
  </si>
  <si>
    <r>
      <rPr>
        <sz val="9"/>
        <color rgb="FF555555"/>
        <rFont val="Noto Sans CJK SC"/>
        <family val="2"/>
      </rPr>
      <t>실사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제본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패키지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굿즈</t>
    </r>
  </si>
  <si>
    <t>소재선택 팝업</t>
  </si>
  <si>
    <r>
      <rPr>
        <sz val="9"/>
        <color rgb="FF555555"/>
        <rFont val="Noto Sans CJK SC"/>
        <family val="2"/>
      </rPr>
      <t>실사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굿즈</t>
    </r>
  </si>
  <si>
    <t>종이선택 팝업</t>
  </si>
  <si>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제본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패키지</t>
    </r>
  </si>
  <si>
    <r>
      <rPr>
        <sz val="10"/>
        <color rgb="FF1A1A1A"/>
        <rFont val="Noto Sans CJK SC"/>
        <family val="2"/>
      </rPr>
      <t xml:space="preserve">가격관리 팝업 </t>
    </r>
    <r>
      <rPr>
        <sz val="10"/>
        <color rgb="FF1A1A1A"/>
        <rFont val="Arial"/>
        <family val="2"/>
      </rPr>
      <t>8</t>
    </r>
    <r>
      <rPr>
        <sz val="10"/>
        <color rgb="FF1A1A1A"/>
        <rFont val="Noto Sans CJK SC"/>
        <family val="2"/>
      </rPr>
      <t>종</t>
    </r>
  </si>
  <si>
    <t>DP02,DP04,DP06,GD01,GD02,PK01,PR01,PR02</t>
  </si>
  <si>
    <t>사이즈관리</t>
  </si>
  <si>
    <t>소재관리</t>
  </si>
  <si>
    <t>용지관리</t>
  </si>
  <si>
    <r>
      <rPr>
        <sz val="10"/>
        <color rgb="FF1A1A1A"/>
        <rFont val="Noto Sans CJK SC"/>
        <family val="2"/>
      </rPr>
      <t xml:space="preserve">가격관리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출력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코팅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후가공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제본</t>
    </r>
    <r>
      <rPr>
        <sz val="10"/>
        <color rgb="FF1A1A1A"/>
        <rFont val="Arial"/>
        <family val="2"/>
      </rPr>
      <t>)</t>
    </r>
  </si>
  <si>
    <t>가격 시뮬레이터 핵심</t>
  </si>
  <si>
    <t>굿즈 카테고리관리</t>
  </si>
  <si>
    <r>
      <rPr>
        <sz val="10"/>
        <color rgb="FF1A1A1A"/>
        <rFont val="Noto Sans CJK SC"/>
        <family val="2"/>
      </rPr>
      <t xml:space="preserve">굿즈 상품등록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카테고리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옵션</t>
    </r>
    <r>
      <rPr>
        <sz val="10"/>
        <color rgb="FF1A1A1A"/>
        <rFont val="Arial"/>
        <family val="2"/>
      </rPr>
      <t>)</t>
    </r>
  </si>
  <si>
    <t>수작 상품등록</t>
  </si>
  <si>
    <t>포장재 상품등록</t>
  </si>
  <si>
    <t>디자인 상품등록</t>
  </si>
  <si>
    <t>게시판</t>
  </si>
  <si>
    <r>
      <rPr>
        <sz val="10"/>
        <color rgb="FF1A1A1A"/>
        <rFont val="Noto Sans CJK SC"/>
        <family val="2"/>
      </rPr>
      <t xml:space="preserve">공지사항 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등록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수정</t>
    </r>
    <r>
      <rPr>
        <sz val="10"/>
        <color rgb="FF1A1A1A"/>
        <rFont val="Arial"/>
        <family val="2"/>
      </rPr>
      <t>/html</t>
    </r>
    <r>
      <rPr>
        <sz val="10"/>
        <color rgb="FF1A1A1A"/>
        <rFont val="Noto Sans CJK SC"/>
        <family val="2"/>
      </rPr>
      <t>생성</t>
    </r>
    <r>
      <rPr>
        <sz val="10"/>
        <color rgb="FF1A1A1A"/>
        <rFont val="Arial"/>
        <family val="2"/>
      </rPr>
      <t>)</t>
    </r>
  </si>
  <si>
    <t>자주묻는질문 관리</t>
  </si>
  <si>
    <r>
      <rPr>
        <sz val="10"/>
        <color rgb="FF1A1A1A"/>
        <rFont val="Noto Sans CJK SC"/>
        <family val="2"/>
      </rPr>
      <t xml:space="preserve">대량주문 견적문의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확인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답변</t>
    </r>
    <r>
      <rPr>
        <sz val="10"/>
        <color rgb="FF1A1A1A"/>
        <rFont val="Arial"/>
        <family val="2"/>
      </rPr>
      <t>)</t>
    </r>
  </si>
  <si>
    <r>
      <rPr>
        <sz val="9"/>
        <color rgb="FF1A1A1A"/>
        <rFont val="Arial"/>
        <family val="2"/>
      </rPr>
      <t xml:space="preserve">PM: </t>
    </r>
    <r>
      <rPr>
        <sz val="9"/>
        <color rgb="FF1A1A1A"/>
        <rFont val="Noto Sans CJK SC"/>
        <family val="2"/>
      </rPr>
      <t xml:space="preserve">대량견적 사용자측 </t>
    </r>
    <r>
      <rPr>
        <sz val="9"/>
        <color rgb="FF1A1A1A"/>
        <rFont val="Arial"/>
        <family val="2"/>
      </rPr>
      <t xml:space="preserve">IA </t>
    </r>
    <r>
      <rPr>
        <sz val="9"/>
        <color rgb="FF1A1A1A"/>
        <rFont val="Noto Sans CJK SC"/>
        <family val="2"/>
      </rPr>
      <t>보완</t>
    </r>
  </si>
  <si>
    <t>사용자 측도 미반영</t>
  </si>
  <si>
    <r>
      <rPr>
        <sz val="10"/>
        <color rgb="FF1A1A1A"/>
        <rFont val="Noto Sans CJK SC"/>
        <family val="2"/>
      </rPr>
      <t xml:space="preserve">기업인쇄상담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확인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답변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</si>
  <si>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디자인상담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확인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답변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</si>
  <si>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>상품</t>
    </r>
    <r>
      <rPr>
        <sz val="10"/>
        <color rgb="FF1A1A1A"/>
        <rFont val="Arial"/>
        <family val="2"/>
      </rPr>
      <t>Q&amp;A (</t>
    </r>
    <r>
      <rPr>
        <sz val="10"/>
        <color rgb="FF1A1A1A"/>
        <rFont val="Noto Sans CJK SC"/>
        <family val="2"/>
      </rPr>
      <t>확인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답변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</si>
  <si>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Arial"/>
        <family val="2"/>
      </rPr>
      <t>1:1</t>
    </r>
    <r>
      <rPr>
        <sz val="10"/>
        <color rgb="FF1A1A1A"/>
        <rFont val="Noto Sans CJK SC"/>
        <family val="2"/>
      </rPr>
      <t xml:space="preserve">문의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확인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답변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</si>
  <si>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체험단관리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등록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수정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신청내역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</si>
  <si>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Arial"/>
        <family val="2"/>
      </rPr>
      <t>html</t>
    </r>
    <r>
      <rPr>
        <sz val="9"/>
        <color rgb="FF555555"/>
        <rFont val="Noto Sans CJK SC"/>
        <family val="2"/>
      </rPr>
      <t xml:space="preserve">문서 </t>
    </r>
    <r>
      <rPr>
        <sz val="9"/>
        <color rgb="FF555555"/>
        <rFont val="Arial"/>
        <family val="2"/>
      </rPr>
      <t>DB</t>
    </r>
    <r>
      <rPr>
        <sz val="9"/>
        <color rgb="FF555555"/>
        <rFont val="Noto Sans CJK SC"/>
        <family val="2"/>
      </rPr>
      <t>직접입력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Noto Sans CJK SC"/>
        <family val="2"/>
      </rPr>
      <t>당첨처리</t>
    </r>
  </si>
  <si>
    <r>
      <rPr>
        <sz val="10"/>
        <color rgb="FF1A1A1A"/>
        <rFont val="Noto Sans CJK SC"/>
        <family val="2"/>
      </rPr>
      <t xml:space="preserve">이용후기관리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관리자등록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수정</t>
    </r>
    <r>
      <rPr>
        <sz val="10"/>
        <color rgb="FF1A1A1A"/>
        <rFont val="Arial"/>
        <family val="2"/>
      </rPr>
      <t>)</t>
    </r>
  </si>
  <si>
    <t>관리자 임의등록 기능</t>
  </si>
  <si>
    <t>회원관리</t>
  </si>
  <si>
    <r>
      <rPr>
        <sz val="10"/>
        <color rgb="FF1A1A1A"/>
        <rFont val="Noto Sans CJK SC"/>
        <family val="2"/>
      </rPr>
      <t xml:space="preserve">회원관리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주문내역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정보확인</t>
    </r>
    <r>
      <rPr>
        <sz val="10"/>
        <color rgb="FF1A1A1A"/>
        <rFont val="Arial"/>
        <family val="2"/>
      </rPr>
      <t>)</t>
    </r>
  </si>
  <si>
    <t>탈퇴회원 관리</t>
  </si>
  <si>
    <r>
      <rPr>
        <sz val="10"/>
        <color rgb="FF1A1A1A"/>
        <rFont val="Noto Sans CJK SC"/>
        <family val="2"/>
      </rPr>
      <t xml:space="preserve">프린팅머니 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수정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처리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</si>
  <si>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쿠폰관리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발행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매칭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사용내역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</si>
  <si>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출력상품매칭</t>
    </r>
    <r>
      <rPr>
        <sz val="9"/>
        <color rgb="FF555555"/>
        <rFont val="Arial"/>
        <family val="2"/>
      </rPr>
      <t>+</t>
    </r>
    <r>
      <rPr>
        <sz val="9"/>
        <color rgb="FF555555"/>
        <rFont val="Noto Sans CJK SC"/>
        <family val="2"/>
      </rPr>
      <t>굿즈카테고리매칭</t>
    </r>
    <r>
      <rPr>
        <sz val="9"/>
        <color rgb="FF555555"/>
        <rFont val="Arial"/>
        <family val="2"/>
      </rPr>
      <t>+</t>
    </r>
    <r>
      <rPr>
        <sz val="9"/>
        <color rgb="FF555555"/>
        <rFont val="Noto Sans CJK SC"/>
        <family val="2"/>
      </rPr>
      <t>상품매칭</t>
    </r>
  </si>
  <si>
    <t>쿠폰등록내역</t>
  </si>
  <si>
    <t>쿠폰사용내역</t>
  </si>
  <si>
    <t>통계</t>
  </si>
  <si>
    <r>
      <rPr>
        <sz val="10"/>
        <color rgb="FF1A1A1A"/>
        <rFont val="Noto Sans CJK SC"/>
        <family val="2"/>
      </rPr>
      <t>인쇄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 xml:space="preserve">제본 상품통계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상세보기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</si>
  <si>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굿즈 상품통계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상세보기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</si>
  <si>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패키지 상품통계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상세보기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</si>
  <si>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수작 상품통계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상세보기</t>
    </r>
    <r>
      <rPr>
        <sz val="10"/>
        <color rgb="FF1A1A1A"/>
        <rFont val="Arial"/>
        <family val="2"/>
      </rPr>
      <t>)</t>
    </r>
  </si>
  <si>
    <t>월별 매출통계</t>
  </si>
  <si>
    <t>핵심 경영지표</t>
  </si>
  <si>
    <r>
      <rPr>
        <sz val="10"/>
        <color rgb="FF1A1A1A"/>
        <rFont val="Noto Sans CJK SC"/>
        <family val="2"/>
      </rPr>
      <t>굿즈 발주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 xml:space="preserve">정산 </t>
    </r>
    <r>
      <rPr>
        <sz val="10"/>
        <color rgb="FF1A1A1A"/>
        <rFont val="Arial"/>
        <family val="2"/>
      </rPr>
      <t xml:space="preserve">(Excel </t>
    </r>
    <r>
      <rPr>
        <sz val="10"/>
        <color rgb="FF1A1A1A"/>
        <rFont val="Noto Sans CJK SC"/>
        <family val="2"/>
      </rPr>
      <t>다운</t>
    </r>
    <r>
      <rPr>
        <sz val="10"/>
        <color rgb="FF1A1A1A"/>
        <rFont val="Arial"/>
        <family val="2"/>
      </rPr>
      <t>)</t>
    </r>
  </si>
  <si>
    <t>외주 정산 관련</t>
  </si>
  <si>
    <r>
      <rPr>
        <sz val="10"/>
        <color rgb="FF1A1A1A"/>
        <rFont val="Noto Sans CJK SC"/>
        <family val="2"/>
      </rPr>
      <t xml:space="preserve">제작상품 팀별통계 </t>
    </r>
    <r>
      <rPr>
        <sz val="10"/>
        <color rgb="FF1A1A1A"/>
        <rFont val="Arial"/>
        <family val="2"/>
      </rPr>
      <t xml:space="preserve">(Excel </t>
    </r>
    <r>
      <rPr>
        <sz val="10"/>
        <color rgb="FF1A1A1A"/>
        <rFont val="Noto Sans CJK SC"/>
        <family val="2"/>
      </rPr>
      <t>다운</t>
    </r>
    <r>
      <rPr>
        <sz val="10"/>
        <color rgb="FF1A1A1A"/>
        <rFont val="Arial"/>
        <family val="2"/>
      </rPr>
      <t>)</t>
    </r>
  </si>
  <si>
    <t>공정관리와 연계</t>
  </si>
  <si>
    <t>주문관리</t>
  </si>
  <si>
    <r>
      <rPr>
        <sz val="10"/>
        <color rgb="FF1A1A1A"/>
        <rFont val="Noto Sans CJK SC"/>
        <family val="2"/>
      </rPr>
      <t>주문관리</t>
    </r>
    <r>
      <rPr>
        <sz val="10"/>
        <color rgb="FF1A1A1A"/>
        <rFont val="Arial"/>
        <family val="2"/>
      </rPr>
      <t>-</t>
    </r>
    <r>
      <rPr>
        <sz val="10"/>
        <color rgb="FF1A1A1A"/>
        <rFont val="Noto Sans CJK SC"/>
        <family val="2"/>
      </rPr>
      <t>인쇄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제본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 xml:space="preserve">굿즈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상세</t>
    </r>
    <r>
      <rPr>
        <sz val="10"/>
        <color rgb="FF1A1A1A"/>
        <rFont val="Arial"/>
        <family val="2"/>
      </rPr>
      <t>)</t>
    </r>
  </si>
  <si>
    <t>파일확인처리</t>
  </si>
  <si>
    <t>인쇄팀이 정한 파일 검수 기준 필요</t>
  </si>
  <si>
    <t>재업로드요청 문자 발송</t>
  </si>
  <si>
    <r>
      <rPr>
        <sz val="9"/>
        <color rgb="FF1A1A1A"/>
        <rFont val="Arial"/>
        <family val="2"/>
      </rPr>
      <t xml:space="preserve">PM: </t>
    </r>
    <r>
      <rPr>
        <sz val="9"/>
        <color rgb="FF1A1A1A"/>
        <rFont val="Noto Sans CJK SC"/>
        <family val="2"/>
      </rPr>
      <t>알림톡</t>
    </r>
    <r>
      <rPr>
        <sz val="9"/>
        <color rgb="FF1A1A1A"/>
        <rFont val="Arial"/>
        <family val="2"/>
      </rPr>
      <t xml:space="preserve">/SMS </t>
    </r>
    <r>
      <rPr>
        <sz val="9"/>
        <color rgb="FF1A1A1A"/>
        <rFont val="Noto Sans CJK SC"/>
        <family val="2"/>
      </rPr>
      <t>선행</t>
    </r>
  </si>
  <si>
    <r>
      <rPr>
        <sz val="9"/>
        <color rgb="FF555555"/>
        <rFont val="Arial"/>
        <family val="2"/>
      </rPr>
      <t>SMS/</t>
    </r>
    <r>
      <rPr>
        <sz val="9"/>
        <color rgb="FF555555"/>
        <rFont val="Noto Sans CJK SC"/>
        <family val="2"/>
      </rPr>
      <t>알림톡 연동</t>
    </r>
  </si>
  <si>
    <t>주문서출력</t>
  </si>
  <si>
    <r>
      <rPr>
        <sz val="10"/>
        <color rgb="FF1A1A1A"/>
        <rFont val="Noto Sans CJK SC"/>
        <family val="2"/>
      </rPr>
      <t xml:space="preserve">주문상태변경 처리 </t>
    </r>
    <r>
      <rPr>
        <sz val="10"/>
        <color rgb="FF1A1A1A"/>
        <rFont val="Arial"/>
        <family val="2"/>
      </rPr>
      <t xml:space="preserve">(+ </t>
    </r>
    <r>
      <rPr>
        <sz val="10"/>
        <color rgb="FF1A1A1A"/>
        <rFont val="Noto Sans CJK SC"/>
        <family val="2"/>
      </rPr>
      <t>문자</t>
    </r>
    <r>
      <rPr>
        <sz val="10"/>
        <color rgb="FF1A1A1A"/>
        <rFont val="Arial"/>
        <family val="2"/>
      </rPr>
      <t>)</t>
    </r>
  </si>
  <si>
    <r>
      <rPr>
        <sz val="9"/>
        <color rgb="FF555555"/>
        <rFont val="Noto Sans CJK SC"/>
        <family val="2"/>
      </rPr>
      <t>제작진행중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완료 변경시 문자</t>
    </r>
  </si>
  <si>
    <r>
      <rPr>
        <sz val="10"/>
        <color rgb="FF1A1A1A"/>
        <rFont val="Noto Sans CJK SC"/>
        <family val="2"/>
      </rPr>
      <t>주문관리</t>
    </r>
    <r>
      <rPr>
        <sz val="10"/>
        <color rgb="FF1A1A1A"/>
        <rFont val="Arial"/>
        <family val="2"/>
      </rPr>
      <t>-</t>
    </r>
    <r>
      <rPr>
        <sz val="10"/>
        <color rgb="FF1A1A1A"/>
        <rFont val="Noto Sans CJK SC"/>
        <family val="2"/>
      </rPr>
      <t>후불결제</t>
    </r>
  </si>
  <si>
    <r>
      <rPr>
        <sz val="9"/>
        <color rgb="FF555555"/>
        <rFont val="Noto Sans CJK SC"/>
        <family val="2"/>
      </rPr>
      <t>미결제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결제완료 상태관리</t>
    </r>
  </si>
  <si>
    <t>증빙서류발급 관리</t>
  </si>
  <si>
    <r>
      <rPr>
        <sz val="9"/>
        <color rgb="FF1A1A1A"/>
        <rFont val="Arial"/>
        <family val="2"/>
      </rPr>
      <t xml:space="preserve">PM: </t>
    </r>
    <r>
      <rPr>
        <sz val="9"/>
        <color rgb="FF1A1A1A"/>
        <rFont val="Noto Sans CJK SC"/>
        <family val="2"/>
      </rPr>
      <t>증빙발급 정책 확정</t>
    </r>
  </si>
  <si>
    <r>
      <rPr>
        <sz val="10"/>
        <color rgb="FF1A1A1A"/>
        <rFont val="Noto Sans CJK SC"/>
        <family val="2"/>
      </rPr>
      <t xml:space="preserve">주문상태변경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일괄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</si>
  <si>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고객 </t>
    </r>
    <r>
      <rPr>
        <sz val="10"/>
        <color rgb="FF1A1A1A"/>
        <rFont val="Arial"/>
        <family val="2"/>
      </rPr>
      <t xml:space="preserve">SMS </t>
    </r>
    <r>
      <rPr>
        <sz val="10"/>
        <color rgb="FF1A1A1A"/>
        <rFont val="Noto Sans CJK SC"/>
        <family val="2"/>
      </rPr>
      <t>발송</t>
    </r>
  </si>
  <si>
    <r>
      <rPr>
        <sz val="9"/>
        <color rgb="FF1A1A1A"/>
        <rFont val="Arial"/>
        <family val="2"/>
      </rPr>
      <t xml:space="preserve">PM: </t>
    </r>
    <r>
      <rPr>
        <sz val="9"/>
        <color rgb="FF1A1A1A"/>
        <rFont val="Noto Sans CJK SC"/>
        <family val="2"/>
      </rPr>
      <t>알림톡 통합 선행</t>
    </r>
  </si>
  <si>
    <t>알림톡 통합 필요</t>
  </si>
  <si>
    <r>
      <rPr>
        <b/>
        <sz val="14"/>
        <color rgb="FFFFFFFF"/>
        <rFont val="Noto Sans CJK SC"/>
        <family val="2"/>
      </rPr>
      <t xml:space="preserve">페이즈별 진행 계획 </t>
    </r>
    <r>
      <rPr>
        <b/>
        <sz val="14"/>
        <color rgb="FFFFFFFF"/>
        <rFont val="Arial"/>
        <family val="2"/>
      </rPr>
      <t>(</t>
    </r>
    <r>
      <rPr>
        <b/>
        <sz val="14"/>
        <color rgb="FFFFFFFF"/>
        <rFont val="Noto Sans CJK SC"/>
        <family val="2"/>
      </rPr>
      <t>인쇄상품 상세 반영</t>
    </r>
    <r>
      <rPr>
        <b/>
        <sz val="14"/>
        <color rgb="FFFFFFFF"/>
        <rFont val="Arial"/>
        <family val="2"/>
      </rPr>
      <t>)</t>
    </r>
  </si>
  <si>
    <t>목표</t>
  </si>
  <si>
    <t>인쇄개발 범위</t>
  </si>
  <si>
    <t>쇼핑개발 범위</t>
  </si>
  <si>
    <r>
      <rPr>
        <b/>
        <sz val="10"/>
        <color rgb="FFFFFFFF"/>
        <rFont val="Arial"/>
        <family val="2"/>
      </rPr>
      <t xml:space="preserve">PM </t>
    </r>
    <r>
      <rPr>
        <b/>
        <sz val="10"/>
        <color rgb="FFFFFFFF"/>
        <rFont val="Noto Sans CJK SC"/>
        <family val="2"/>
      </rPr>
      <t>선행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조율</t>
    </r>
  </si>
  <si>
    <r>
      <rPr>
        <b/>
        <sz val="10"/>
        <color rgb="FF1A1A1A"/>
        <rFont val="Arial"/>
        <family val="2"/>
      </rPr>
      <t>Phase 0
(</t>
    </r>
    <r>
      <rPr>
        <b/>
        <sz val="10"/>
        <color rgb="FF1A1A1A"/>
        <rFont val="Noto Sans CJK SC"/>
        <family val="2"/>
      </rPr>
      <t>현재</t>
    </r>
    <r>
      <rPr>
        <b/>
        <sz val="10"/>
        <color rgb="FF1A1A1A"/>
        <rFont val="Arial"/>
        <family val="2"/>
      </rPr>
      <t>)</t>
    </r>
  </si>
  <si>
    <t>진행 기반작업 마무리</t>
  </si>
  <si>
    <r>
      <rPr>
        <sz val="10"/>
        <color rgb="FF1A1A1A"/>
        <rFont val="Noto Sans CJK SC"/>
        <family val="2"/>
      </rPr>
      <t>상품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가격 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매핑</t>
    </r>
    <r>
      <rPr>
        <sz val="10"/>
        <color rgb="FF1A1A1A"/>
        <rFont val="Arial"/>
        <family val="2"/>
      </rPr>
      <t>+</t>
    </r>
    <r>
      <rPr>
        <sz val="10"/>
        <color rgb="FF1A1A1A"/>
        <rFont val="Noto Sans CJK SC"/>
        <family val="2"/>
      </rPr>
      <t xml:space="preserve">시뮬레이터 검수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>가격엔진</t>
    </r>
    <r>
      <rPr>
        <sz val="10"/>
        <color rgb="FF1A1A1A"/>
        <rFont val="Arial"/>
        <family val="2"/>
      </rPr>
      <t>(C1)·</t>
    </r>
    <r>
      <rPr>
        <sz val="10"/>
        <color rgb="FF1A1A1A"/>
        <rFont val="Noto Sans CJK SC"/>
        <family val="2"/>
      </rPr>
      <t>옵션</t>
    </r>
    <r>
      <rPr>
        <sz val="10"/>
        <color rgb="FF1A1A1A"/>
        <rFont val="Arial"/>
        <family val="2"/>
      </rPr>
      <t>API(A2)</t>
    </r>
  </si>
  <si>
    <r>
      <rPr>
        <sz val="10"/>
        <color rgb="FF1A1A1A"/>
        <rFont val="Noto Sans CJK SC"/>
        <family val="2"/>
      </rPr>
      <t>상세 콘텐츠 빌더</t>
    </r>
    <r>
      <rPr>
        <sz val="10"/>
        <color rgb="FF1A1A1A"/>
        <rFont val="Arial"/>
        <family val="2"/>
      </rPr>
      <t xml:space="preserve">(G1) </t>
    </r>
    <r>
      <rPr>
        <sz val="10"/>
        <color rgb="FF1A1A1A"/>
        <rFont val="Noto Sans CJK SC"/>
        <family val="2"/>
      </rPr>
      <t>완성→실무진 테스트</t>
    </r>
  </si>
  <si>
    <r>
      <rPr>
        <sz val="10"/>
        <color rgb="FF1A1A1A"/>
        <rFont val="Noto Sans CJK SC"/>
        <family val="2"/>
      </rPr>
      <t xml:space="preserve">정책 </t>
    </r>
    <r>
      <rPr>
        <sz val="10"/>
        <color rgb="FF1A1A1A"/>
        <rFont val="Arial"/>
        <family val="2"/>
      </rPr>
      <t>5</t>
    </r>
    <r>
      <rPr>
        <sz val="10"/>
        <color rgb="FF1A1A1A"/>
        <rFont val="Noto Sans CJK SC"/>
        <family val="2"/>
      </rPr>
      <t xml:space="preserve">건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 xml:space="preserve">에디터 도입 결정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>계약 협상</t>
    </r>
  </si>
  <si>
    <r>
      <rPr>
        <b/>
        <sz val="10"/>
        <color rgb="FF1A1A1A"/>
        <rFont val="Arial"/>
        <family val="2"/>
      </rPr>
      <t>Phase 1
(</t>
    </r>
    <r>
      <rPr>
        <b/>
        <sz val="10"/>
        <color rgb="FF1A1A1A"/>
        <rFont val="Noto Sans CJK SC"/>
        <family val="2"/>
      </rPr>
      <t>런칭</t>
    </r>
    <r>
      <rPr>
        <b/>
        <sz val="10"/>
        <color rgb="FF1A1A1A"/>
        <rFont val="Arial"/>
        <family val="2"/>
      </rPr>
      <t>·P0)</t>
    </r>
  </si>
  <si>
    <r>
      <rPr>
        <b/>
        <sz val="10"/>
        <color rgb="FF1A1A1A"/>
        <rFont val="Noto Sans CJK SC"/>
        <family val="2"/>
      </rPr>
      <t xml:space="preserve">매출 백본 </t>
    </r>
    <r>
      <rPr>
        <b/>
        <sz val="10"/>
        <color rgb="FF1A1A1A"/>
        <rFont val="Arial"/>
        <family val="2"/>
      </rPr>
      <t>(57</t>
    </r>
    <r>
      <rPr>
        <b/>
        <sz val="10"/>
        <color rgb="FF1A1A1A"/>
        <rFont val="Noto Sans CJK SC"/>
        <family val="2"/>
      </rPr>
      <t>건</t>
    </r>
    <r>
      <rPr>
        <b/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</si>
  <si>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>옵션위젯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규격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수량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종이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인쇄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제본 </t>
    </r>
    <r>
      <rPr>
        <sz val="10"/>
        <color rgb="FF1A1A1A"/>
        <rFont val="Arial"/>
        <family val="2"/>
      </rPr>
      <t>B1~B10)·</t>
    </r>
    <r>
      <rPr>
        <sz val="10"/>
        <color rgb="FF1A1A1A"/>
        <rFont val="Noto Sans CJK SC"/>
        <family val="2"/>
      </rPr>
      <t>실시간가격</t>
    </r>
    <r>
      <rPr>
        <sz val="10"/>
        <color rgb="FF1A1A1A"/>
        <rFont val="Arial"/>
        <family val="2"/>
      </rPr>
      <t>(C1)·</t>
    </r>
    <r>
      <rPr>
        <sz val="10"/>
        <color rgb="FF1A1A1A"/>
        <rFont val="Noto Sans CJK SC"/>
        <family val="2"/>
      </rPr>
      <t>작업사이즈</t>
    </r>
    <r>
      <rPr>
        <sz val="10"/>
        <color rgb="FF1A1A1A"/>
        <rFont val="Arial"/>
        <family val="2"/>
      </rPr>
      <t>(E4)·</t>
    </r>
    <r>
      <rPr>
        <sz val="10"/>
        <color rgb="FF1A1A1A"/>
        <rFont val="Noto Sans CJK SC"/>
        <family val="2"/>
      </rPr>
      <t>관리자 상품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가격 셋업</t>
    </r>
  </si>
  <si>
    <r>
      <rPr>
        <sz val="10"/>
        <color rgb="FF1A1A1A"/>
        <rFont val="Noto Sans CJK SC"/>
        <family val="2"/>
      </rPr>
      <t>파일업로드</t>
    </r>
    <r>
      <rPr>
        <sz val="10"/>
        <color rgb="FF1A1A1A"/>
        <rFont val="Arial"/>
        <family val="2"/>
      </rPr>
      <t>(D1)·</t>
    </r>
    <r>
      <rPr>
        <sz val="10"/>
        <color rgb="FF1A1A1A"/>
        <rFont val="Noto Sans CJK SC"/>
        <family val="2"/>
      </rPr>
      <t>미리보기</t>
    </r>
    <r>
      <rPr>
        <sz val="10"/>
        <color rgb="FF1A1A1A"/>
        <rFont val="Arial"/>
        <family val="2"/>
      </rPr>
      <t>(D2)·</t>
    </r>
    <r>
      <rPr>
        <sz val="10"/>
        <color rgb="FF1A1A1A"/>
        <rFont val="Noto Sans CJK SC"/>
        <family val="2"/>
      </rPr>
      <t>주문전환</t>
    </r>
    <r>
      <rPr>
        <sz val="10"/>
        <color rgb="FF1A1A1A"/>
        <rFont val="Arial"/>
        <family val="2"/>
      </rPr>
      <t>(F1~F4)·</t>
    </r>
    <r>
      <rPr>
        <sz val="10"/>
        <color rgb="FF1A1A1A"/>
        <rFont val="Noto Sans CJK SC"/>
        <family val="2"/>
      </rPr>
      <t>상세빌더</t>
    </r>
    <r>
      <rPr>
        <sz val="10"/>
        <color rgb="FF1A1A1A"/>
        <rFont val="Arial"/>
        <family val="2"/>
      </rPr>
      <t>(G1)·</t>
    </r>
    <r>
      <rPr>
        <sz val="10"/>
        <color rgb="FF1A1A1A"/>
        <rFont val="Noto Sans CJK SC"/>
        <family val="2"/>
      </rPr>
      <t>스토어프론트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회원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결제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관리자 주문관리</t>
    </r>
  </si>
  <si>
    <r>
      <rPr>
        <sz val="10"/>
        <color rgb="FF1A1A1A"/>
        <rFont val="Noto Sans CJK SC"/>
        <family val="2"/>
      </rPr>
      <t>이니시스 계약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인증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배송비 정책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약관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가이드 콘텐츠</t>
    </r>
  </si>
  <si>
    <r>
      <rPr>
        <b/>
        <sz val="10"/>
        <color rgb="FF1A1A1A"/>
        <rFont val="Arial"/>
        <family val="2"/>
      </rPr>
      <t>Phase 2
(</t>
    </r>
    <r>
      <rPr>
        <b/>
        <sz val="10"/>
        <color rgb="FF1A1A1A"/>
        <rFont val="Noto Sans CJK SC"/>
        <family val="2"/>
      </rPr>
      <t>안정화</t>
    </r>
    <r>
      <rPr>
        <b/>
        <sz val="10"/>
        <color rgb="FF1A1A1A"/>
        <rFont val="Arial"/>
        <family val="2"/>
      </rPr>
      <t>·P1)</t>
    </r>
  </si>
  <si>
    <r>
      <rPr>
        <b/>
        <sz val="10"/>
        <color rgb="FF1A1A1A"/>
        <rFont val="Noto Sans CJK SC"/>
        <family val="2"/>
      </rPr>
      <t>운영</t>
    </r>
    <r>
      <rPr>
        <b/>
        <sz val="10"/>
        <color rgb="FF1A1A1A"/>
        <rFont val="Arial"/>
        <family val="2"/>
      </rPr>
      <t>·</t>
    </r>
    <r>
      <rPr>
        <b/>
        <sz val="10"/>
        <color rgb="FF1A1A1A"/>
        <rFont val="Noto Sans CJK SC"/>
        <family val="2"/>
      </rPr>
      <t>재구매</t>
    </r>
    <r>
      <rPr>
        <b/>
        <sz val="10"/>
        <color rgb="FF1A1A1A"/>
        <rFont val="Arial"/>
        <family val="2"/>
      </rPr>
      <t>·B2B (64</t>
    </r>
    <r>
      <rPr>
        <b/>
        <sz val="10"/>
        <color rgb="FF1A1A1A"/>
        <rFont val="Noto Sans CJK SC"/>
        <family val="2"/>
      </rPr>
      <t>건</t>
    </r>
    <r>
      <rPr>
        <b/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</si>
  <si>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>코팅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커팅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박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형압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캘린더가공</t>
    </r>
    <r>
      <rPr>
        <sz val="10"/>
        <color rgb="FF1A1A1A"/>
        <rFont val="Arial"/>
        <family val="2"/>
      </rPr>
      <t>(B6~B13)·</t>
    </r>
    <r>
      <rPr>
        <sz val="10"/>
        <color rgb="FF1A1A1A"/>
        <rFont val="Noto Sans CJK SC"/>
        <family val="2"/>
      </rPr>
      <t>가격표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견적</t>
    </r>
    <r>
      <rPr>
        <sz val="10"/>
        <color rgb="FF1A1A1A"/>
        <rFont val="Arial"/>
        <family val="2"/>
      </rPr>
      <t>(C2·C3)·</t>
    </r>
    <r>
      <rPr>
        <sz val="10"/>
        <color rgb="FF1A1A1A"/>
        <rFont val="Noto Sans CJK SC"/>
        <family val="2"/>
      </rPr>
      <t>가이드</t>
    </r>
    <r>
      <rPr>
        <sz val="10"/>
        <color rgb="FF1A1A1A"/>
        <rFont val="Arial"/>
        <family val="2"/>
      </rPr>
      <t>(E1~E3)·</t>
    </r>
    <r>
      <rPr>
        <sz val="10"/>
        <color rgb="FF1A1A1A"/>
        <rFont val="Noto Sans CJK SC"/>
        <family val="2"/>
      </rPr>
      <t>굿즈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포장 등록</t>
    </r>
  </si>
  <si>
    <r>
      <rPr>
        <sz val="10"/>
        <color rgb="FF1A1A1A"/>
        <rFont val="Noto Sans CJK SC"/>
        <family val="2"/>
      </rPr>
      <t>쿠폰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머니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증빙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고객센터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옵션보관함</t>
    </r>
    <r>
      <rPr>
        <sz val="10"/>
        <color rgb="FF1A1A1A"/>
        <rFont val="Arial"/>
        <family val="2"/>
      </rPr>
      <t>(F5)·</t>
    </r>
    <r>
      <rPr>
        <sz val="10"/>
        <color rgb="FF1A1A1A"/>
        <rFont val="Noto Sans CJK SC"/>
        <family val="2"/>
      </rPr>
      <t>거래처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원장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통계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후불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알림톡</t>
    </r>
  </si>
  <si>
    <r>
      <rPr>
        <sz val="10"/>
        <color rgb="FF1A1A1A"/>
        <rFont val="Noto Sans CJK SC"/>
        <family val="2"/>
      </rPr>
      <t>알림톡</t>
    </r>
    <r>
      <rPr>
        <sz val="10"/>
        <color rgb="FF1A1A1A"/>
        <rFont val="Arial"/>
        <family val="2"/>
      </rPr>
      <t xml:space="preserve">·PG </t>
    </r>
    <r>
      <rPr>
        <sz val="10"/>
        <color rgb="FF1A1A1A"/>
        <rFont val="Noto Sans CJK SC"/>
        <family val="2"/>
      </rPr>
      <t>계약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>증빙 정책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Noto Sans CJK SC"/>
        <family val="2"/>
      </rPr>
      <t xml:space="preserve">대량견적 </t>
    </r>
    <r>
      <rPr>
        <sz val="10"/>
        <color rgb="FF1A1A1A"/>
        <rFont val="Arial"/>
        <family val="2"/>
      </rPr>
      <t xml:space="preserve">IA </t>
    </r>
    <r>
      <rPr>
        <sz val="10"/>
        <color rgb="FF1A1A1A"/>
        <rFont val="Noto Sans CJK SC"/>
        <family val="2"/>
      </rPr>
      <t>보완</t>
    </r>
  </si>
  <si>
    <r>
      <rPr>
        <b/>
        <sz val="10"/>
        <color rgb="FF1A1A1A"/>
        <rFont val="Arial"/>
        <family val="2"/>
      </rPr>
      <t>Phase 3
(</t>
    </r>
    <r>
      <rPr>
        <b/>
        <sz val="10"/>
        <color rgb="FF1A1A1A"/>
        <rFont val="Noto Sans CJK SC"/>
        <family val="2"/>
      </rPr>
      <t>확장</t>
    </r>
    <r>
      <rPr>
        <b/>
        <sz val="10"/>
        <color rgb="FF1A1A1A"/>
        <rFont val="Arial"/>
        <family val="2"/>
      </rPr>
      <t>·P2)</t>
    </r>
  </si>
  <si>
    <r>
      <rPr>
        <b/>
        <sz val="10"/>
        <color rgb="FF1A1A1A"/>
        <rFont val="Noto Sans CJK SC"/>
        <family val="2"/>
      </rPr>
      <t>성장</t>
    </r>
    <r>
      <rPr>
        <b/>
        <sz val="10"/>
        <color rgb="FF1A1A1A"/>
        <rFont val="Arial"/>
        <family val="2"/>
      </rPr>
      <t>·</t>
    </r>
    <r>
      <rPr>
        <b/>
        <sz val="10"/>
        <color rgb="FF1A1A1A"/>
        <rFont val="Noto Sans CJK SC"/>
        <family val="2"/>
      </rPr>
      <t xml:space="preserve">미결정 의존 </t>
    </r>
    <r>
      <rPr>
        <b/>
        <sz val="10"/>
        <color rgb="FF1A1A1A"/>
        <rFont val="Arial"/>
        <family val="2"/>
      </rPr>
      <t>(23</t>
    </r>
    <r>
      <rPr>
        <b/>
        <sz val="10"/>
        <color rgb="FF1A1A1A"/>
        <rFont val="Noto Sans CJK SC"/>
        <family val="2"/>
      </rPr>
      <t>건</t>
    </r>
    <r>
      <rPr>
        <b/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</si>
  <si>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>수작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디자인 등록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개별포장</t>
    </r>
    <r>
      <rPr>
        <sz val="10"/>
        <color rgb="FF1A1A1A"/>
        <rFont val="Arial"/>
        <family val="2"/>
      </rPr>
      <t>(B14)</t>
    </r>
  </si>
  <si>
    <r>
      <rPr>
        <sz val="10"/>
        <color rgb="FF1A1A1A"/>
        <rFont val="Noto Sans CJK SC"/>
        <family val="2"/>
      </rPr>
      <t>온라인 에디터</t>
    </r>
    <r>
      <rPr>
        <sz val="10"/>
        <color rgb="FF1A1A1A"/>
        <rFont val="Arial"/>
        <family val="2"/>
      </rPr>
      <t>(D3·D4)·</t>
    </r>
    <r>
      <rPr>
        <sz val="10"/>
        <color rgb="FF1A1A1A"/>
        <rFont val="Noto Sans CJK SC"/>
        <family val="2"/>
      </rPr>
      <t>리뷰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체험단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마케팅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고급통계</t>
    </r>
  </si>
  <si>
    <r>
      <rPr>
        <sz val="10"/>
        <color rgb="FF1A1A1A"/>
        <rFont val="Noto Sans CJK SC"/>
        <family val="2"/>
      </rPr>
      <t>에디터 도입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수작 존치 결정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마케팅 기획</t>
    </r>
  </si>
  <si>
    <r>
      <rPr>
        <b/>
        <sz val="12"/>
        <color rgb="FFFFFFFF"/>
        <rFont val="Noto Sans CJK SC"/>
        <family val="2"/>
      </rPr>
      <t xml:space="preserve">① 담당 </t>
    </r>
    <r>
      <rPr>
        <b/>
        <sz val="12"/>
        <color rgb="FFFFFFFF"/>
        <rFont val="Arial"/>
        <family val="2"/>
      </rPr>
      <t xml:space="preserve">× </t>
    </r>
    <r>
      <rPr>
        <b/>
        <sz val="12"/>
        <color rgb="FFFFFFFF"/>
        <rFont val="Noto Sans CJK SC"/>
        <family val="2"/>
      </rPr>
      <t xml:space="preserve">우선순위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Noto Sans CJK SC"/>
        <family val="2"/>
      </rPr>
      <t>건수</t>
    </r>
    <r>
      <rPr>
        <b/>
        <sz val="12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</si>
  <si>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담당 </t>
    </r>
    <r>
      <rPr>
        <b/>
        <sz val="10"/>
        <color rgb="FFFFFFFF"/>
        <rFont val="Arial"/>
        <family val="2"/>
      </rPr>
      <t xml:space="preserve">\ </t>
    </r>
    <r>
      <rPr>
        <b/>
        <sz val="10"/>
        <color rgb="FFFFFFFF"/>
        <rFont val="Noto Sans CJK SC"/>
        <family val="2"/>
      </rPr>
      <t>우선순위</t>
    </r>
  </si>
  <si>
    <t>합계</t>
  </si>
  <si>
    <t>② 진행상태 분포</t>
  </si>
  <si>
    <t>완료</t>
  </si>
  <si>
    <r>
      <rPr>
        <b/>
        <sz val="12"/>
        <color rgb="FFFFFFFF"/>
        <rFont val="Noto Sans CJK SC"/>
        <family val="2"/>
      </rPr>
      <t xml:space="preserve">③ 담당별 가중 공수 </t>
    </r>
    <r>
      <rPr>
        <b/>
        <sz val="12"/>
        <color rgb="FFFFFFFF"/>
        <rFont val="Arial"/>
        <family val="2"/>
      </rPr>
      <t>(S=1·M=2·L=4·XL=8)</t>
    </r>
  </si>
  <si>
    <t>공수점수</t>
  </si>
  <si>
    <r>
      <rPr>
        <b/>
        <sz val="10"/>
        <color rgb="FFFFFFFF"/>
        <rFont val="Arial"/>
        <family val="2"/>
      </rPr>
      <t xml:space="preserve">P0 </t>
    </r>
    <r>
      <rPr>
        <b/>
        <sz val="10"/>
        <color rgb="FFFFFFFF"/>
        <rFont val="Noto Sans CJK SC"/>
        <family val="2"/>
      </rPr>
      <t>공수점수</t>
    </r>
  </si>
  <si>
    <r>
      <rPr>
        <sz val="9"/>
        <color rgb="FFB03A2E"/>
        <rFont val="Noto Sans CJK SC"/>
        <family val="2"/>
      </rPr>
      <t xml:space="preserve">※ 인쇄상품 상세 반영 후 인쇄개발 부하가 </t>
    </r>
    <r>
      <rPr>
        <sz val="9"/>
        <color rgb="FFB03A2E"/>
        <rFont val="Arial"/>
        <family val="2"/>
      </rPr>
      <t>14</t>
    </r>
    <r>
      <rPr>
        <sz val="9"/>
        <color rgb="FFB03A2E"/>
        <rFont val="Noto Sans CJK SC"/>
        <family val="2"/>
      </rPr>
      <t>건→</t>
    </r>
    <r>
      <rPr>
        <sz val="9"/>
        <color rgb="FFB03A2E"/>
        <rFont val="Arial"/>
        <family val="2"/>
      </rPr>
      <t>38</t>
    </r>
    <r>
      <rPr>
        <sz val="9"/>
        <color rgb="FFB03A2E"/>
        <rFont val="Noto Sans CJK SC"/>
        <family val="2"/>
      </rPr>
      <t>건으로 현실화</t>
    </r>
    <r>
      <rPr>
        <sz val="9"/>
        <color rgb="FFB03A2E"/>
        <rFont val="Arial"/>
        <family val="2"/>
      </rPr>
      <t xml:space="preserve">. P0 </t>
    </r>
    <r>
      <rPr>
        <sz val="9"/>
        <color rgb="FFB03A2E"/>
        <rFont val="Noto Sans CJK SC"/>
        <family val="2"/>
      </rPr>
      <t>공수에서 인쇄개발이 옵션위젯</t>
    </r>
    <r>
      <rPr>
        <sz val="9"/>
        <color rgb="FFB03A2E"/>
        <rFont val="Arial"/>
        <family val="2"/>
      </rPr>
      <t>·</t>
    </r>
    <r>
      <rPr>
        <sz val="9"/>
        <color rgb="FFB03A2E"/>
        <rFont val="Noto Sans CJK SC"/>
        <family val="2"/>
      </rPr>
      <t>가격엔진으로 크게 증가 — 쇼핑개발 단독 병목 우려가 완화됨</t>
    </r>
    <r>
      <rPr>
        <sz val="9"/>
        <color rgb="FFB03A2E"/>
        <rFont val="Arial"/>
        <family val="2"/>
      </rPr>
      <t xml:space="preserve">. </t>
    </r>
    <r>
      <rPr>
        <sz val="9"/>
        <color rgb="FFB03A2E"/>
        <rFont val="Noto Sans CJK SC"/>
        <family val="2"/>
      </rPr>
      <t xml:space="preserve">단 </t>
    </r>
    <r>
      <rPr>
        <sz val="9"/>
        <color rgb="FFB03A2E"/>
        <rFont val="Arial"/>
        <family val="2"/>
      </rPr>
      <t xml:space="preserve">D1·F2 </t>
    </r>
    <r>
      <rPr>
        <sz val="9"/>
        <color rgb="FFB03A2E"/>
        <rFont val="Noto Sans CJK SC"/>
        <family val="2"/>
      </rPr>
      <t xml:space="preserve">등 쇼핑개발 </t>
    </r>
    <r>
      <rPr>
        <sz val="9"/>
        <color rgb="FFB03A2E"/>
        <rFont val="Arial"/>
        <family val="2"/>
      </rPr>
      <t>P0</t>
    </r>
    <r>
      <rPr>
        <sz val="9"/>
        <color rgb="FFB03A2E"/>
        <rFont val="Noto Sans CJK SC"/>
        <family val="2"/>
      </rPr>
      <t xml:space="preserve">도 여전히 높아 </t>
    </r>
    <r>
      <rPr>
        <sz val="9"/>
        <color rgb="FFB03A2E"/>
        <rFont val="Arial"/>
        <family val="2"/>
      </rPr>
      <t xml:space="preserve">Shopby </t>
    </r>
    <r>
      <rPr>
        <sz val="9"/>
        <color rgb="FFB03A2E"/>
        <rFont val="Noto Sans CJK SC"/>
        <family val="2"/>
      </rPr>
      <t>빌트인 활용 권장</t>
    </r>
    <r>
      <rPr>
        <sz val="9"/>
        <color rgb="FFB03A2E"/>
        <rFont val="Arial"/>
        <family val="2"/>
      </rPr>
      <t>.</t>
    </r>
  </si>
  <si>
    <r>
      <t>▶ 진행중</t>
    </r>
    <r>
      <rPr>
        <b/>
        <sz val="10"/>
        <color rgb="FF1A1A1A"/>
        <rFont val="Arial"/>
        <family val="2"/>
      </rPr>
      <t xml:space="preserve">: </t>
    </r>
    <r>
      <rPr>
        <b/>
        <sz val="10"/>
        <color rgb="FF1A1A1A"/>
        <rFont val="Noto Sans CJK SC"/>
        <family val="2"/>
      </rPr>
      <t>상품</t>
    </r>
    <r>
      <rPr>
        <b/>
        <sz val="10"/>
        <color rgb="FF1A1A1A"/>
        <rFont val="Arial"/>
        <family val="2"/>
      </rPr>
      <t>·</t>
    </r>
    <r>
      <rPr>
        <b/>
        <sz val="10"/>
        <color rgb="FF1A1A1A"/>
        <rFont val="Noto Sans CJK SC"/>
        <family val="2"/>
      </rPr>
      <t xml:space="preserve">가격 </t>
    </r>
    <r>
      <rPr>
        <b/>
        <sz val="10"/>
        <color rgb="FF1A1A1A"/>
        <rFont val="Arial"/>
        <family val="2"/>
      </rPr>
      <t xml:space="preserve">DB </t>
    </r>
    <r>
      <rPr>
        <b/>
        <sz val="10"/>
        <color rgb="FF1A1A1A"/>
        <rFont val="Noto Sans CJK SC"/>
        <family val="2"/>
      </rPr>
      <t>스키마 완료→데이터 매핑</t>
    </r>
    <r>
      <rPr>
        <b/>
        <sz val="10"/>
        <color rgb="FF1A1A1A"/>
        <rFont val="Arial"/>
        <family val="2"/>
      </rPr>
      <t>·</t>
    </r>
    <r>
      <rPr>
        <b/>
        <sz val="10"/>
        <color rgb="FF1A1A1A"/>
        <rFont val="Noto Sans CJK SC"/>
        <family val="2"/>
      </rPr>
      <t xml:space="preserve">시뮬레이터 검수 </t>
    </r>
    <r>
      <rPr>
        <b/>
        <sz val="10"/>
        <color rgb="FF1A1A1A"/>
        <rFont val="Arial"/>
        <family val="2"/>
      </rPr>
      <t xml:space="preserve">/ </t>
    </r>
    <r>
      <rPr>
        <b/>
        <sz val="10"/>
        <color rgb="FF1A1A1A"/>
        <rFont val="Noto Sans CJK SC"/>
        <family val="2"/>
      </rPr>
      <t>가격엔진</t>
    </r>
    <r>
      <rPr>
        <b/>
        <sz val="10"/>
        <color rgb="FF1A1A1A"/>
        <rFont val="Arial"/>
        <family val="2"/>
      </rPr>
      <t>(C1)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</si>
</sst>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0"/>
      <color rgb="FF1A1A1A"/>
      <name val="Noto Sans CJK SC"/>
      <family val="2"/>
    </font>
    <font>
      <sz val="10"/>
      <color rgb="FF1A1A1A"/>
      <name val="Noto Sans CJK SC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b/>
      <sz val="15"/>
      <color rgb="FFFFFFFF"/>
      <name val="Noto Sans CJK SC"/>
      <family val="2"/>
    </font>
    <font>
      <b/>
      <sz val="15"/>
      <color rgb="FFFFFFFF"/>
      <name val="Arial"/>
      <family val="2"/>
    </font>
    <font>
      <sz val="10"/>
      <color rgb="FF555555"/>
      <name val="Arial"/>
      <family val="2"/>
    </font>
    <font>
      <sz val="10"/>
      <color rgb="FF555555"/>
      <name val="Noto Sans CJK SC"/>
      <family val="2"/>
    </font>
    <font>
      <b/>
      <sz val="10"/>
      <color rgb="FFFFFFFF"/>
      <name val="Arial"/>
      <family val="2"/>
    </font>
    <font>
      <sz val="9"/>
      <color rgb="FF1A1A1A"/>
      <name val="Arial"/>
      <family val="2"/>
    </font>
    <font>
      <sz val="9"/>
      <color rgb="FF1A1A1A"/>
      <name val="Noto Sans CJK SC"/>
      <family val="2"/>
    </font>
    <font>
      <b/>
      <sz val="12"/>
      <color rgb="FFFFFFFF"/>
      <name val="Noto Sans CJK SC"/>
      <family val="2"/>
    </font>
    <font>
      <b/>
      <sz val="12"/>
      <color rgb="FFFFFFFF"/>
      <name val="Arial"/>
      <family val="2"/>
    </font>
    <font>
      <sz val="9"/>
      <color rgb="FFB03A2E"/>
      <name val="Noto Sans CJK SC"/>
      <family val="2"/>
    </font>
    <font>
      <sz val="9"/>
      <color rgb="FFB03A2E"/>
      <name val="Arial"/>
      <family val="2"/>
    </font>
    <font>
      <sz val="8"/>
      <name val="나눔명조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F3A5F"/>
        <bgColor rgb="FF2E5984"/>
      </patternFill>
    </fill>
    <fill>
      <patternFill patternType="solid">
        <fgColor rgb="FFEAF0F6"/>
        <bgColor rgb="FFEDEFF2"/>
      </patternFill>
    </fill>
    <fill>
      <patternFill patternType="solid">
        <fgColor rgb="FFF3E8F5"/>
        <bgColor rgb="FFEDEFF2"/>
      </patternFill>
    </fill>
    <fill>
      <patternFill patternType="solid">
        <fgColor rgb="FFE3F0E6"/>
        <bgColor rgb="FFE5EDF7"/>
      </patternFill>
    </fill>
    <fill>
      <patternFill patternType="solid">
        <fgColor rgb="FFE5EDF7"/>
        <bgColor rgb="FFEAF0F6"/>
      </patternFill>
    </fill>
    <fill>
      <patternFill patternType="solid">
        <fgColor rgb="FF2E5984"/>
        <bgColor rgb="FF555555"/>
      </patternFill>
    </fill>
    <fill>
      <patternFill patternType="solid">
        <fgColor rgb="FFFCE4E4"/>
        <bgColor rgb="FFF3E8F5"/>
      </patternFill>
    </fill>
    <fill>
      <patternFill patternType="solid">
        <fgColor rgb="FFF2F2F2"/>
        <bgColor rgb="FFEDEFF2"/>
      </patternFill>
    </fill>
    <fill>
      <patternFill patternType="solid">
        <fgColor rgb="FFFFF4DD"/>
        <bgColor rgb="FFFFF3D6"/>
      </patternFill>
    </fill>
    <fill>
      <patternFill patternType="solid">
        <fgColor rgb="FFF6D0CB"/>
        <bgColor rgb="FFFCE4E4"/>
      </patternFill>
    </fill>
    <fill>
      <patternFill patternType="solid">
        <fgColor rgb="FFEDEFF2"/>
        <bgColor rgb="FFEAF0F6"/>
      </patternFill>
    </fill>
    <fill>
      <patternFill patternType="solid">
        <fgColor rgb="FFEAF6EE"/>
        <bgColor rgb="FFEAF0F6"/>
      </patternFill>
    </fill>
    <fill>
      <patternFill patternType="solid">
        <fgColor rgb="FFFFE7A8"/>
        <bgColor rgb="FFFFF3D6"/>
      </patternFill>
    </fill>
    <fill>
      <patternFill patternType="solid">
        <fgColor rgb="FFFFF3D6"/>
        <bgColor rgb="FFFFF4DD"/>
      </patternFill>
    </fill>
    <fill>
      <patternFill patternType="solid">
        <fgColor rgb="FFC9E5CB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9" fillId="0" borderId="2" xfId="0" applyFont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indent="1"/>
    </xf>
    <xf numFmtId="0" fontId="6" fillId="0" borderId="2" xfId="0" applyFont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8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4D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EDF7"/>
      <rgbColor rgb="FF808080"/>
      <rgbColor rgb="FFEDEFF2"/>
      <rgbColor rgb="FF993366"/>
      <rgbColor rgb="FFFFF3D6"/>
      <rgbColor rgb="FFEAF6EE"/>
      <rgbColor rgb="FF660066"/>
      <rgbColor rgb="FFFF8080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3F0E6"/>
      <rgbColor rgb="FFC9E5CB"/>
      <rgbColor rgb="FFFFE7A8"/>
      <rgbColor rgb="FFEAF0F6"/>
      <rgbColor rgb="FFFCE4E4"/>
      <rgbColor rgb="FFF3E8F5"/>
      <rgbColor rgb="FFF6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B03A2E"/>
      <rgbColor rgb="FF993366"/>
      <rgbColor rgb="FF2E5984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zoomScale="275" zoomScaleNormal="275" workbookViewId="0">
      <selection sqref="A1:C1"/>
    </sheetView>
  </sheetViews>
  <sheetFormatPr baseColWidth="10" defaultColWidth="8.6640625" defaultRowHeight="15"/>
  <cols>
    <col min="1" max="1" width="16" customWidth="1"/>
    <col min="2" max="2" width="18" customWidth="1"/>
    <col min="3" max="3" width="72" customWidth="1"/>
  </cols>
  <sheetData>
    <row r="1" spans="1:3" ht="30" customHeight="1">
      <c r="A1" s="8" t="s">
        <v>0</v>
      </c>
      <c r="B1" s="8"/>
      <c r="C1" s="8"/>
    </row>
    <row r="3" spans="1:3" ht="24" customHeight="1">
      <c r="A3" s="9" t="s">
        <v>1</v>
      </c>
      <c r="B3" s="9" t="s">
        <v>2</v>
      </c>
      <c r="C3" s="9" t="s">
        <v>3</v>
      </c>
    </row>
    <row r="4" spans="1:3" ht="21.75" customHeight="1">
      <c r="A4" s="10" t="s">
        <v>4</v>
      </c>
      <c r="B4" s="11" t="s">
        <v>5</v>
      </c>
      <c r="C4" s="12" t="s">
        <v>6</v>
      </c>
    </row>
    <row r="5" spans="1:3" ht="21.75" customHeight="1">
      <c r="A5" s="10" t="s">
        <v>7</v>
      </c>
      <c r="B5" s="11" t="s">
        <v>8</v>
      </c>
      <c r="C5" s="12" t="s">
        <v>9</v>
      </c>
    </row>
    <row r="6" spans="1:3" ht="21.75" customHeight="1">
      <c r="A6" s="10" t="s">
        <v>10</v>
      </c>
      <c r="B6" s="11" t="s">
        <v>11</v>
      </c>
      <c r="C6" s="12" t="s">
        <v>12</v>
      </c>
    </row>
    <row r="7" spans="1:3" ht="21.75" customHeight="1">
      <c r="A7" s="10" t="s">
        <v>13</v>
      </c>
      <c r="B7" s="11" t="s">
        <v>14</v>
      </c>
      <c r="C7" s="11" t="s">
        <v>15</v>
      </c>
    </row>
    <row r="8" spans="1:3" ht="21.75" customHeight="1">
      <c r="A8" s="13" t="s">
        <v>16</v>
      </c>
      <c r="B8" s="11" t="s">
        <v>17</v>
      </c>
      <c r="C8" s="12" t="s">
        <v>18</v>
      </c>
    </row>
    <row r="9" spans="1:3" ht="21.75" customHeight="1">
      <c r="A9" s="10" t="s">
        <v>19</v>
      </c>
      <c r="B9" s="11" t="s">
        <v>20</v>
      </c>
      <c r="C9" s="11" t="s">
        <v>21</v>
      </c>
    </row>
    <row r="10" spans="1:3" ht="21.75" customHeight="1">
      <c r="A10" s="10" t="s">
        <v>22</v>
      </c>
      <c r="B10" s="11" t="s">
        <v>23</v>
      </c>
      <c r="C10" s="11" t="s">
        <v>24</v>
      </c>
    </row>
    <row r="12" spans="1:3" ht="15" customHeight="1">
      <c r="A12" s="7" t="s">
        <v>25</v>
      </c>
      <c r="B12" s="7"/>
      <c r="C12" s="7"/>
    </row>
  </sheetData>
  <mergeCells count="2">
    <mergeCell ref="A1:C1"/>
    <mergeCell ref="A12:C1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tabSelected="1" zoomScale="183" zoomScaleNormal="183" workbookViewId="0">
      <selection activeCell="E6" sqref="E6"/>
    </sheetView>
  </sheetViews>
  <sheetFormatPr baseColWidth="10" defaultColWidth="8.6640625" defaultRowHeight="15"/>
  <cols>
    <col min="1" max="1" width="10" customWidth="1"/>
    <col min="2" max="2" width="12" customWidth="1"/>
    <col min="3" max="3" width="40" customWidth="1"/>
    <col min="4" max="4" width="30" customWidth="1"/>
    <col min="5" max="5" width="40" customWidth="1"/>
    <col min="6" max="6" width="32" customWidth="1"/>
  </cols>
  <sheetData>
    <row r="1" spans="1:6" ht="33.75" customHeight="1">
      <c r="A1" s="6" t="s">
        <v>26</v>
      </c>
      <c r="B1" s="6"/>
      <c r="C1" s="6"/>
      <c r="D1" s="6"/>
      <c r="E1" s="6"/>
      <c r="F1" s="6"/>
    </row>
    <row r="2" spans="1:6" ht="19.5" customHeight="1">
      <c r="A2" s="5" t="s">
        <v>27</v>
      </c>
      <c r="B2" s="5"/>
      <c r="C2" s="5"/>
      <c r="D2" s="5"/>
      <c r="E2" s="5"/>
      <c r="F2" s="5"/>
    </row>
    <row r="4" spans="1:6" ht="24" customHeight="1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</row>
    <row r="5" spans="1:6" ht="103.5" customHeight="1">
      <c r="A5" s="14" t="s">
        <v>34</v>
      </c>
      <c r="B5" s="15" t="s">
        <v>35</v>
      </c>
      <c r="C5" s="11" t="s">
        <v>36</v>
      </c>
      <c r="D5" s="11" t="s">
        <v>37</v>
      </c>
      <c r="E5" s="11" t="s">
        <v>38</v>
      </c>
      <c r="F5" s="11" t="s">
        <v>39</v>
      </c>
    </row>
    <row r="6" spans="1:6" ht="103.5" customHeight="1">
      <c r="A6" s="16" t="s">
        <v>40</v>
      </c>
      <c r="B6" s="17" t="s">
        <v>41</v>
      </c>
      <c r="C6" s="11" t="s">
        <v>42</v>
      </c>
      <c r="D6" s="11" t="s">
        <v>43</v>
      </c>
      <c r="E6" s="18" t="s">
        <v>358</v>
      </c>
      <c r="F6" s="11" t="s">
        <v>44</v>
      </c>
    </row>
    <row r="7" spans="1:6" ht="103.5" customHeight="1">
      <c r="A7" s="19" t="s">
        <v>45</v>
      </c>
      <c r="B7" s="20" t="s">
        <v>46</v>
      </c>
      <c r="C7" s="11" t="s">
        <v>47</v>
      </c>
      <c r="D7" s="11" t="s">
        <v>48</v>
      </c>
      <c r="E7" s="18" t="s">
        <v>49</v>
      </c>
      <c r="F7" s="11" t="s">
        <v>50</v>
      </c>
    </row>
    <row r="9" spans="1:6" ht="15" customHeight="1">
      <c r="A9" s="4" t="s">
        <v>51</v>
      </c>
      <c r="B9" s="4"/>
      <c r="C9" s="4"/>
      <c r="D9" s="4"/>
      <c r="E9" s="4"/>
      <c r="F9" s="4"/>
    </row>
    <row r="10" spans="1:6" ht="19.5" customHeight="1">
      <c r="A10" s="3" t="s">
        <v>52</v>
      </c>
      <c r="B10" s="3"/>
      <c r="C10" s="3"/>
      <c r="D10" s="3"/>
      <c r="E10" s="3"/>
      <c r="F10" s="3"/>
    </row>
    <row r="11" spans="1:6" ht="19.5" customHeight="1">
      <c r="A11" s="3" t="s">
        <v>53</v>
      </c>
      <c r="B11" s="3"/>
      <c r="C11" s="3"/>
      <c r="D11" s="3"/>
      <c r="E11" s="3"/>
      <c r="F11" s="3"/>
    </row>
    <row r="12" spans="1:6" ht="19.5" customHeight="1">
      <c r="A12" s="3" t="s">
        <v>54</v>
      </c>
      <c r="B12" s="3"/>
      <c r="C12" s="3"/>
      <c r="D12" s="3"/>
      <c r="E12" s="3"/>
      <c r="F12" s="3"/>
    </row>
  </sheetData>
  <mergeCells count="6">
    <mergeCell ref="A12:F12"/>
    <mergeCell ref="A1:F1"/>
    <mergeCell ref="A2:F2"/>
    <mergeCell ref="A9:F9"/>
    <mergeCell ref="A10:F10"/>
    <mergeCell ref="A11:F1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5"/>
  <sheetViews>
    <sheetView showGridLines="0" zoomScale="210" zoomScaleNormal="210" workbookViewId="0">
      <pane ySplit="1" topLeftCell="A35" activePane="bottomLeft" state="frozen"/>
      <selection pane="bottomLeft" activeCell="F60" sqref="F60"/>
    </sheetView>
  </sheetViews>
  <sheetFormatPr baseColWidth="10" defaultColWidth="8.6640625" defaultRowHeight="15"/>
  <cols>
    <col min="1" max="1" width="5" customWidth="1"/>
    <col min="2" max="2" width="8" customWidth="1"/>
    <col min="3" max="3" width="11" customWidth="1"/>
    <col min="4" max="4" width="36" customWidth="1"/>
    <col min="5" max="5" width="8" customWidth="1"/>
    <col min="6" max="6" width="9" customWidth="1"/>
    <col min="7" max="7" width="8" customWidth="1"/>
    <col min="8" max="8" width="9" customWidth="1"/>
    <col min="9" max="9" width="15" customWidth="1"/>
    <col min="10" max="10" width="32" customWidth="1"/>
    <col min="11" max="11" width="40" customWidth="1"/>
  </cols>
  <sheetData>
    <row r="1" spans="1:11" ht="25.5" customHeight="1">
      <c r="A1" s="21" t="s">
        <v>55</v>
      </c>
      <c r="B1" s="9" t="s">
        <v>56</v>
      </c>
      <c r="C1" s="9" t="s">
        <v>57</v>
      </c>
      <c r="D1" s="9" t="s">
        <v>58</v>
      </c>
      <c r="E1" s="9" t="s">
        <v>4</v>
      </c>
      <c r="F1" s="9" t="s">
        <v>7</v>
      </c>
      <c r="G1" s="9" t="s">
        <v>10</v>
      </c>
      <c r="H1" s="9" t="s">
        <v>13</v>
      </c>
      <c r="I1" s="21" t="s">
        <v>16</v>
      </c>
      <c r="J1" s="9" t="s">
        <v>59</v>
      </c>
      <c r="K1" s="9" t="s">
        <v>22</v>
      </c>
    </row>
    <row r="2" spans="1:11">
      <c r="A2" s="22">
        <v>1</v>
      </c>
      <c r="B2" s="23" t="s">
        <v>60</v>
      </c>
      <c r="C2" s="23" t="s">
        <v>61</v>
      </c>
      <c r="D2" s="11" t="s">
        <v>62</v>
      </c>
      <c r="E2" s="24" t="s">
        <v>63</v>
      </c>
      <c r="F2" s="20" t="s">
        <v>45</v>
      </c>
      <c r="G2" s="22" t="s">
        <v>64</v>
      </c>
      <c r="H2" s="25" t="s">
        <v>65</v>
      </c>
      <c r="I2" s="22" t="s">
        <v>66</v>
      </c>
      <c r="J2" s="26"/>
      <c r="K2" s="27"/>
    </row>
    <row r="3" spans="1:11">
      <c r="A3" s="23">
        <v>2</v>
      </c>
      <c r="B3" s="23" t="s">
        <v>60</v>
      </c>
      <c r="C3" s="23" t="s">
        <v>61</v>
      </c>
      <c r="D3" s="11" t="s">
        <v>67</v>
      </c>
      <c r="E3" s="24" t="s">
        <v>63</v>
      </c>
      <c r="F3" s="20" t="s">
        <v>45</v>
      </c>
      <c r="G3" s="22" t="s">
        <v>64</v>
      </c>
      <c r="H3" s="25" t="s">
        <v>65</v>
      </c>
      <c r="I3" s="22" t="s">
        <v>66</v>
      </c>
      <c r="J3" s="26"/>
      <c r="K3" s="27"/>
    </row>
    <row r="4" spans="1:11">
      <c r="A4" s="23">
        <v>3</v>
      </c>
      <c r="B4" s="23" t="s">
        <v>60</v>
      </c>
      <c r="C4" s="23" t="s">
        <v>61</v>
      </c>
      <c r="D4" s="11" t="s">
        <v>68</v>
      </c>
      <c r="E4" s="28" t="s">
        <v>69</v>
      </c>
      <c r="F4" s="20" t="s">
        <v>45</v>
      </c>
      <c r="G4" s="22" t="s">
        <v>70</v>
      </c>
      <c r="H4" s="29" t="s">
        <v>71</v>
      </c>
      <c r="I4" s="22" t="s">
        <v>72</v>
      </c>
      <c r="J4" s="30" t="s">
        <v>73</v>
      </c>
      <c r="K4" s="31" t="s">
        <v>74</v>
      </c>
    </row>
    <row r="5" spans="1:11">
      <c r="A5" s="23">
        <v>4</v>
      </c>
      <c r="B5" s="23" t="s">
        <v>60</v>
      </c>
      <c r="C5" s="23" t="s">
        <v>75</v>
      </c>
      <c r="D5" s="11" t="s">
        <v>76</v>
      </c>
      <c r="E5" s="24" t="s">
        <v>63</v>
      </c>
      <c r="F5" s="20" t="s">
        <v>45</v>
      </c>
      <c r="G5" s="22" t="s">
        <v>64</v>
      </c>
      <c r="H5" s="25" t="s">
        <v>65</v>
      </c>
      <c r="I5" s="22" t="s">
        <v>66</v>
      </c>
      <c r="J5" s="26"/>
      <c r="K5" s="31"/>
    </row>
    <row r="6" spans="1:11">
      <c r="A6" s="23">
        <v>5</v>
      </c>
      <c r="B6" s="23" t="s">
        <v>60</v>
      </c>
      <c r="C6" s="23" t="s">
        <v>75</v>
      </c>
      <c r="D6" s="11" t="s">
        <v>77</v>
      </c>
      <c r="E6" s="24" t="s">
        <v>63</v>
      </c>
      <c r="F6" s="20" t="s">
        <v>45</v>
      </c>
      <c r="G6" s="22" t="s">
        <v>70</v>
      </c>
      <c r="H6" s="25" t="s">
        <v>65</v>
      </c>
      <c r="I6" s="22" t="s">
        <v>66</v>
      </c>
      <c r="J6" s="26"/>
      <c r="K6" s="31"/>
    </row>
    <row r="7" spans="1:11">
      <c r="A7" s="23">
        <v>6</v>
      </c>
      <c r="B7" s="23" t="s">
        <v>60</v>
      </c>
      <c r="C7" s="23" t="s">
        <v>75</v>
      </c>
      <c r="D7" s="11" t="s">
        <v>78</v>
      </c>
      <c r="E7" s="24" t="s">
        <v>63</v>
      </c>
      <c r="F7" s="20" t="s">
        <v>45</v>
      </c>
      <c r="G7" s="22" t="s">
        <v>64</v>
      </c>
      <c r="H7" s="25" t="s">
        <v>65</v>
      </c>
      <c r="I7" s="22" t="s">
        <v>66</v>
      </c>
      <c r="J7" s="26"/>
      <c r="K7" s="31"/>
    </row>
    <row r="8" spans="1:11">
      <c r="A8" s="23">
        <v>7</v>
      </c>
      <c r="B8" s="23" t="s">
        <v>60</v>
      </c>
      <c r="C8" s="23" t="s">
        <v>75</v>
      </c>
      <c r="D8" s="11" t="s">
        <v>79</v>
      </c>
      <c r="E8" s="28" t="s">
        <v>69</v>
      </c>
      <c r="F8" s="20" t="s">
        <v>45</v>
      </c>
      <c r="G8" s="22" t="s">
        <v>70</v>
      </c>
      <c r="H8" s="29" t="s">
        <v>71</v>
      </c>
      <c r="I8" s="22" t="s">
        <v>72</v>
      </c>
      <c r="J8" s="30" t="s">
        <v>80</v>
      </c>
      <c r="K8" s="31" t="s">
        <v>81</v>
      </c>
    </row>
    <row r="9" spans="1:11">
      <c r="A9" s="23">
        <v>8</v>
      </c>
      <c r="B9" s="23" t="s">
        <v>60</v>
      </c>
      <c r="C9" s="23" t="s">
        <v>75</v>
      </c>
      <c r="D9" s="11" t="s">
        <v>82</v>
      </c>
      <c r="E9" s="24" t="s">
        <v>63</v>
      </c>
      <c r="F9" s="20" t="s">
        <v>45</v>
      </c>
      <c r="G9" s="22" t="s">
        <v>64</v>
      </c>
      <c r="H9" s="25" t="s">
        <v>65</v>
      </c>
      <c r="I9" s="22" t="s">
        <v>66</v>
      </c>
      <c r="J9" s="26"/>
      <c r="K9" s="31"/>
    </row>
    <row r="10" spans="1:11">
      <c r="A10" s="23">
        <v>9</v>
      </c>
      <c r="B10" s="23" t="s">
        <v>60</v>
      </c>
      <c r="C10" s="23" t="s">
        <v>83</v>
      </c>
      <c r="D10" s="11" t="s">
        <v>84</v>
      </c>
      <c r="E10" s="24" t="s">
        <v>63</v>
      </c>
      <c r="F10" s="20" t="s">
        <v>45</v>
      </c>
      <c r="G10" s="22" t="s">
        <v>70</v>
      </c>
      <c r="H10" s="25" t="s">
        <v>65</v>
      </c>
      <c r="I10" s="22" t="s">
        <v>66</v>
      </c>
      <c r="J10" s="26"/>
      <c r="K10" s="31"/>
    </row>
    <row r="11" spans="1:11">
      <c r="A11" s="23">
        <v>10</v>
      </c>
      <c r="B11" s="23" t="s">
        <v>60</v>
      </c>
      <c r="C11" s="23" t="s">
        <v>83</v>
      </c>
      <c r="D11" s="11" t="s">
        <v>85</v>
      </c>
      <c r="E11" s="24" t="s">
        <v>63</v>
      </c>
      <c r="F11" s="20" t="s">
        <v>45</v>
      </c>
      <c r="G11" s="22" t="s">
        <v>86</v>
      </c>
      <c r="H11" s="25" t="s">
        <v>65</v>
      </c>
      <c r="I11" s="22" t="s">
        <v>66</v>
      </c>
      <c r="J11" s="26"/>
      <c r="K11" s="31"/>
    </row>
    <row r="12" spans="1:11">
      <c r="A12" s="23">
        <v>11</v>
      </c>
      <c r="B12" s="23" t="s">
        <v>60</v>
      </c>
      <c r="C12" s="23" t="s">
        <v>83</v>
      </c>
      <c r="D12" s="11" t="s">
        <v>87</v>
      </c>
      <c r="E12" s="28" t="s">
        <v>69</v>
      </c>
      <c r="F12" s="20" t="s">
        <v>45</v>
      </c>
      <c r="G12" s="22" t="s">
        <v>70</v>
      </c>
      <c r="H12" s="25" t="s">
        <v>65</v>
      </c>
      <c r="I12" s="22" t="s">
        <v>72</v>
      </c>
      <c r="J12" s="26"/>
      <c r="K12" s="31" t="s">
        <v>88</v>
      </c>
    </row>
    <row r="13" spans="1:11">
      <c r="A13" s="23">
        <v>12</v>
      </c>
      <c r="B13" s="23" t="s">
        <v>60</v>
      </c>
      <c r="C13" s="23" t="s">
        <v>83</v>
      </c>
      <c r="D13" s="11" t="s">
        <v>89</v>
      </c>
      <c r="E13" s="28" t="s">
        <v>69</v>
      </c>
      <c r="F13" s="20" t="s">
        <v>45</v>
      </c>
      <c r="G13" s="22" t="s">
        <v>64</v>
      </c>
      <c r="H13" s="25" t="s">
        <v>65</v>
      </c>
      <c r="I13" s="22" t="s">
        <v>72</v>
      </c>
      <c r="J13" s="26"/>
      <c r="K13" s="31"/>
    </row>
    <row r="14" spans="1:11">
      <c r="A14" s="23">
        <v>13</v>
      </c>
      <c r="B14" s="23" t="s">
        <v>60</v>
      </c>
      <c r="C14" s="23" t="s">
        <v>83</v>
      </c>
      <c r="D14" s="11" t="s">
        <v>90</v>
      </c>
      <c r="E14" s="28" t="s">
        <v>69</v>
      </c>
      <c r="F14" s="20" t="s">
        <v>45</v>
      </c>
      <c r="G14" s="22" t="s">
        <v>64</v>
      </c>
      <c r="H14" s="25" t="s">
        <v>65</v>
      </c>
      <c r="I14" s="22" t="s">
        <v>72</v>
      </c>
      <c r="J14" s="26"/>
      <c r="K14" s="31" t="s">
        <v>91</v>
      </c>
    </row>
    <row r="15" spans="1:11">
      <c r="A15" s="23">
        <v>14</v>
      </c>
      <c r="B15" s="23" t="s">
        <v>60</v>
      </c>
      <c r="C15" s="23" t="s">
        <v>83</v>
      </c>
      <c r="D15" s="11" t="s">
        <v>92</v>
      </c>
      <c r="E15" s="28" t="s">
        <v>69</v>
      </c>
      <c r="F15" s="20" t="s">
        <v>45</v>
      </c>
      <c r="G15" s="22" t="s">
        <v>70</v>
      </c>
      <c r="H15" s="29" t="s">
        <v>71</v>
      </c>
      <c r="I15" s="22" t="s">
        <v>72</v>
      </c>
      <c r="J15" s="30" t="s">
        <v>93</v>
      </c>
      <c r="K15" s="27" t="s">
        <v>94</v>
      </c>
    </row>
    <row r="16" spans="1:11">
      <c r="A16" s="23">
        <v>15</v>
      </c>
      <c r="B16" s="23" t="s">
        <v>60</v>
      </c>
      <c r="C16" s="23" t="s">
        <v>83</v>
      </c>
      <c r="D16" s="11" t="s">
        <v>95</v>
      </c>
      <c r="E16" s="28" t="s">
        <v>69</v>
      </c>
      <c r="F16" s="20" t="s">
        <v>45</v>
      </c>
      <c r="G16" s="22" t="s">
        <v>70</v>
      </c>
      <c r="H16" s="29" t="s">
        <v>71</v>
      </c>
      <c r="I16" s="22" t="s">
        <v>72</v>
      </c>
      <c r="J16" s="30" t="s">
        <v>93</v>
      </c>
      <c r="K16" s="31" t="s">
        <v>96</v>
      </c>
    </row>
    <row r="17" spans="1:11">
      <c r="A17" s="23">
        <v>16</v>
      </c>
      <c r="B17" s="23" t="s">
        <v>60</v>
      </c>
      <c r="C17" s="23" t="s">
        <v>83</v>
      </c>
      <c r="D17" s="11" t="s">
        <v>97</v>
      </c>
      <c r="E17" s="28" t="s">
        <v>69</v>
      </c>
      <c r="F17" s="20" t="s">
        <v>45</v>
      </c>
      <c r="G17" s="22" t="s">
        <v>70</v>
      </c>
      <c r="H17" s="25" t="s">
        <v>65</v>
      </c>
      <c r="I17" s="22" t="s">
        <v>72</v>
      </c>
      <c r="J17" s="26"/>
      <c r="K17" s="31"/>
    </row>
    <row r="18" spans="1:11" ht="26">
      <c r="A18" s="23">
        <v>17</v>
      </c>
      <c r="B18" s="23" t="s">
        <v>60</v>
      </c>
      <c r="C18" s="23" t="s">
        <v>83</v>
      </c>
      <c r="D18" s="11" t="s">
        <v>98</v>
      </c>
      <c r="E18" s="32" t="s">
        <v>99</v>
      </c>
      <c r="F18" s="20" t="s">
        <v>45</v>
      </c>
      <c r="G18" s="22" t="s">
        <v>70</v>
      </c>
      <c r="H18" s="25" t="s">
        <v>65</v>
      </c>
      <c r="I18" s="22" t="s">
        <v>100</v>
      </c>
      <c r="J18" s="26"/>
      <c r="K18" s="31" t="s">
        <v>101</v>
      </c>
    </row>
    <row r="19" spans="1:11">
      <c r="A19" s="23">
        <v>18</v>
      </c>
      <c r="B19" s="23" t="s">
        <v>60</v>
      </c>
      <c r="C19" s="23" t="s">
        <v>83</v>
      </c>
      <c r="D19" s="11" t="s">
        <v>102</v>
      </c>
      <c r="E19" s="32" t="s">
        <v>99</v>
      </c>
      <c r="F19" s="20" t="s">
        <v>45</v>
      </c>
      <c r="G19" s="22" t="s">
        <v>70</v>
      </c>
      <c r="H19" s="25" t="s">
        <v>65</v>
      </c>
      <c r="I19" s="22" t="s">
        <v>100</v>
      </c>
      <c r="J19" s="26"/>
      <c r="K19" s="31" t="s">
        <v>103</v>
      </c>
    </row>
    <row r="20" spans="1:11">
      <c r="A20" s="23">
        <v>19</v>
      </c>
      <c r="B20" s="23" t="s">
        <v>60</v>
      </c>
      <c r="C20" s="23" t="s">
        <v>83</v>
      </c>
      <c r="D20" s="11" t="s">
        <v>104</v>
      </c>
      <c r="E20" s="32" t="s">
        <v>99</v>
      </c>
      <c r="F20" s="20" t="s">
        <v>45</v>
      </c>
      <c r="G20" s="22" t="s">
        <v>70</v>
      </c>
      <c r="H20" s="25" t="s">
        <v>65</v>
      </c>
      <c r="I20" s="22" t="s">
        <v>100</v>
      </c>
      <c r="J20" s="26"/>
      <c r="K20" s="31" t="s">
        <v>105</v>
      </c>
    </row>
    <row r="21" spans="1:11">
      <c r="A21" s="23">
        <v>20</v>
      </c>
      <c r="B21" s="23" t="s">
        <v>60</v>
      </c>
      <c r="C21" s="23" t="s">
        <v>83</v>
      </c>
      <c r="D21" s="12" t="s">
        <v>106</v>
      </c>
      <c r="E21" s="28" t="s">
        <v>69</v>
      </c>
      <c r="F21" s="20" t="s">
        <v>45</v>
      </c>
      <c r="G21" s="22" t="s">
        <v>70</v>
      </c>
      <c r="H21" s="25" t="s">
        <v>65</v>
      </c>
      <c r="I21" s="22" t="s">
        <v>72</v>
      </c>
      <c r="J21" s="26"/>
      <c r="K21" s="31"/>
    </row>
    <row r="22" spans="1:11">
      <c r="A22" s="23">
        <v>21</v>
      </c>
      <c r="B22" s="23" t="s">
        <v>60</v>
      </c>
      <c r="C22" s="23" t="s">
        <v>83</v>
      </c>
      <c r="D22" s="11" t="s">
        <v>107</v>
      </c>
      <c r="E22" s="24" t="s">
        <v>63</v>
      </c>
      <c r="F22" s="20" t="s">
        <v>45</v>
      </c>
      <c r="G22" s="22" t="s">
        <v>70</v>
      </c>
      <c r="H22" s="25" t="s">
        <v>65</v>
      </c>
      <c r="I22" s="22" t="s">
        <v>66</v>
      </c>
      <c r="J22" s="26"/>
      <c r="K22" s="31"/>
    </row>
    <row r="23" spans="1:11">
      <c r="A23" s="23">
        <v>22</v>
      </c>
      <c r="B23" s="23" t="s">
        <v>60</v>
      </c>
      <c r="C23" s="23" t="s">
        <v>83</v>
      </c>
      <c r="D23" s="11" t="s">
        <v>108</v>
      </c>
      <c r="E23" s="24" t="s">
        <v>63</v>
      </c>
      <c r="F23" s="20" t="s">
        <v>45</v>
      </c>
      <c r="G23" s="22" t="s">
        <v>64</v>
      </c>
      <c r="H23" s="25" t="s">
        <v>65</v>
      </c>
      <c r="I23" s="22" t="s">
        <v>66</v>
      </c>
      <c r="J23" s="26"/>
      <c r="K23" s="31" t="s">
        <v>109</v>
      </c>
    </row>
    <row r="24" spans="1:11">
      <c r="A24" s="23">
        <v>23</v>
      </c>
      <c r="B24" s="23" t="s">
        <v>60</v>
      </c>
      <c r="C24" s="23" t="s">
        <v>83</v>
      </c>
      <c r="D24" s="11" t="s">
        <v>110</v>
      </c>
      <c r="E24" s="24" t="s">
        <v>63</v>
      </c>
      <c r="F24" s="20" t="s">
        <v>45</v>
      </c>
      <c r="G24" s="22" t="s">
        <v>64</v>
      </c>
      <c r="H24" s="25" t="s">
        <v>65</v>
      </c>
      <c r="I24" s="22" t="s">
        <v>66</v>
      </c>
      <c r="J24" s="30" t="s">
        <v>111</v>
      </c>
      <c r="K24" s="31" t="s">
        <v>112</v>
      </c>
    </row>
    <row r="25" spans="1:11">
      <c r="A25" s="23">
        <v>24</v>
      </c>
      <c r="B25" s="23" t="s">
        <v>60</v>
      </c>
      <c r="C25" s="23" t="s">
        <v>83</v>
      </c>
      <c r="D25" s="11" t="s">
        <v>113</v>
      </c>
      <c r="E25" s="24" t="s">
        <v>63</v>
      </c>
      <c r="F25" s="20" t="s">
        <v>45</v>
      </c>
      <c r="G25" s="22" t="s">
        <v>64</v>
      </c>
      <c r="H25" s="25" t="s">
        <v>65</v>
      </c>
      <c r="I25" s="22" t="s">
        <v>66</v>
      </c>
      <c r="J25" s="30" t="s">
        <v>114</v>
      </c>
      <c r="K25" s="31" t="s">
        <v>115</v>
      </c>
    </row>
    <row r="26" spans="1:11" ht="26">
      <c r="A26" s="23">
        <v>25</v>
      </c>
      <c r="B26" s="23" t="s">
        <v>60</v>
      </c>
      <c r="C26" s="23" t="s">
        <v>83</v>
      </c>
      <c r="D26" s="11" t="s">
        <v>116</v>
      </c>
      <c r="E26" s="28" t="s">
        <v>69</v>
      </c>
      <c r="F26" s="20" t="s">
        <v>45</v>
      </c>
      <c r="G26" s="22" t="s">
        <v>70</v>
      </c>
      <c r="H26" s="25" t="s">
        <v>65</v>
      </c>
      <c r="I26" s="22" t="s">
        <v>72</v>
      </c>
      <c r="J26" s="30" t="s">
        <v>117</v>
      </c>
      <c r="K26" s="31" t="s">
        <v>118</v>
      </c>
    </row>
    <row r="27" spans="1:11">
      <c r="A27" s="23">
        <v>26</v>
      </c>
      <c r="B27" s="23" t="s">
        <v>60</v>
      </c>
      <c r="C27" s="23" t="s">
        <v>83</v>
      </c>
      <c r="D27" s="11" t="s">
        <v>119</v>
      </c>
      <c r="E27" s="28" t="s">
        <v>69</v>
      </c>
      <c r="F27" s="20" t="s">
        <v>45</v>
      </c>
      <c r="G27" s="22" t="s">
        <v>64</v>
      </c>
      <c r="H27" s="25" t="s">
        <v>65</v>
      </c>
      <c r="I27" s="22" t="s">
        <v>72</v>
      </c>
      <c r="J27" s="26"/>
      <c r="K27" s="31"/>
    </row>
    <row r="28" spans="1:11">
      <c r="A28" s="23">
        <v>27</v>
      </c>
      <c r="B28" s="23" t="s">
        <v>60</v>
      </c>
      <c r="C28" s="23" t="s">
        <v>83</v>
      </c>
      <c r="D28" s="11" t="s">
        <v>120</v>
      </c>
      <c r="E28" s="28" t="s">
        <v>69</v>
      </c>
      <c r="F28" s="20" t="s">
        <v>45</v>
      </c>
      <c r="G28" s="22" t="s">
        <v>70</v>
      </c>
      <c r="H28" s="25" t="s">
        <v>65</v>
      </c>
      <c r="I28" s="22" t="s">
        <v>72</v>
      </c>
      <c r="J28" s="26"/>
      <c r="K28" s="31"/>
    </row>
    <row r="29" spans="1:11">
      <c r="A29" s="23">
        <v>28</v>
      </c>
      <c r="B29" s="23" t="s">
        <v>60</v>
      </c>
      <c r="C29" s="23" t="s">
        <v>83</v>
      </c>
      <c r="D29" s="11" t="s">
        <v>121</v>
      </c>
      <c r="E29" s="28" t="s">
        <v>69</v>
      </c>
      <c r="F29" s="20" t="s">
        <v>45</v>
      </c>
      <c r="G29" s="22" t="s">
        <v>70</v>
      </c>
      <c r="H29" s="25" t="s">
        <v>65</v>
      </c>
      <c r="I29" s="22" t="s">
        <v>72</v>
      </c>
      <c r="J29" s="30" t="s">
        <v>122</v>
      </c>
      <c r="K29" s="31" t="s">
        <v>123</v>
      </c>
    </row>
    <row r="30" spans="1:11">
      <c r="A30" s="23">
        <v>29</v>
      </c>
      <c r="B30" s="23" t="s">
        <v>60</v>
      </c>
      <c r="C30" s="23" t="s">
        <v>83</v>
      </c>
      <c r="D30" s="11" t="s">
        <v>124</v>
      </c>
      <c r="E30" s="24" t="s">
        <v>63</v>
      </c>
      <c r="F30" s="20" t="s">
        <v>45</v>
      </c>
      <c r="G30" s="22" t="s">
        <v>64</v>
      </c>
      <c r="H30" s="25" t="s">
        <v>65</v>
      </c>
      <c r="I30" s="22" t="s">
        <v>66</v>
      </c>
      <c r="J30" s="26"/>
      <c r="K30" s="31"/>
    </row>
    <row r="31" spans="1:11" ht="26">
      <c r="A31" s="23">
        <v>30</v>
      </c>
      <c r="B31" s="23" t="s">
        <v>60</v>
      </c>
      <c r="C31" s="23" t="s">
        <v>83</v>
      </c>
      <c r="D31" s="11" t="s">
        <v>125</v>
      </c>
      <c r="E31" s="32" t="s">
        <v>99</v>
      </c>
      <c r="F31" s="20" t="s">
        <v>45</v>
      </c>
      <c r="G31" s="22" t="s">
        <v>70</v>
      </c>
      <c r="H31" s="25" t="s">
        <v>65</v>
      </c>
      <c r="I31" s="22" t="s">
        <v>100</v>
      </c>
      <c r="J31" s="26"/>
      <c r="K31" s="27" t="s">
        <v>126</v>
      </c>
    </row>
    <row r="32" spans="1:11">
      <c r="A32" s="23">
        <v>31</v>
      </c>
      <c r="B32" s="23" t="s">
        <v>60</v>
      </c>
      <c r="C32" s="23" t="s">
        <v>83</v>
      </c>
      <c r="D32" s="12" t="s">
        <v>127</v>
      </c>
      <c r="E32" s="24" t="s">
        <v>63</v>
      </c>
      <c r="F32" s="20" t="s">
        <v>45</v>
      </c>
      <c r="G32" s="22" t="s">
        <v>70</v>
      </c>
      <c r="H32" s="25" t="s">
        <v>65</v>
      </c>
      <c r="I32" s="22" t="s">
        <v>66</v>
      </c>
      <c r="J32" s="26"/>
      <c r="K32" s="27" t="s">
        <v>128</v>
      </c>
    </row>
    <row r="33" spans="1:11" ht="28">
      <c r="A33" s="23">
        <v>32</v>
      </c>
      <c r="B33" s="23" t="s">
        <v>60</v>
      </c>
      <c r="C33" s="33" t="s">
        <v>129</v>
      </c>
      <c r="D33" s="12" t="s">
        <v>130</v>
      </c>
      <c r="E33" s="24" t="s">
        <v>63</v>
      </c>
      <c r="F33" s="20" t="s">
        <v>45</v>
      </c>
      <c r="G33" s="22" t="s">
        <v>64</v>
      </c>
      <c r="H33" s="25" t="s">
        <v>65</v>
      </c>
      <c r="I33" s="22" t="s">
        <v>66</v>
      </c>
      <c r="J33" s="26"/>
      <c r="K33" s="31" t="s">
        <v>131</v>
      </c>
    </row>
    <row r="34" spans="1:11" ht="26">
      <c r="A34" s="23">
        <v>33</v>
      </c>
      <c r="B34" s="23" t="s">
        <v>60</v>
      </c>
      <c r="C34" s="33" t="s">
        <v>129</v>
      </c>
      <c r="D34" s="12" t="s">
        <v>132</v>
      </c>
      <c r="E34" s="24" t="s">
        <v>63</v>
      </c>
      <c r="F34" s="17" t="s">
        <v>40</v>
      </c>
      <c r="G34" s="22" t="s">
        <v>86</v>
      </c>
      <c r="H34" s="34" t="s">
        <v>133</v>
      </c>
      <c r="I34" s="22" t="s">
        <v>66</v>
      </c>
      <c r="J34" s="30" t="s">
        <v>134</v>
      </c>
      <c r="K34" s="31" t="s">
        <v>131</v>
      </c>
    </row>
    <row r="35" spans="1:11">
      <c r="A35" s="23">
        <v>34</v>
      </c>
      <c r="B35" s="23" t="s">
        <v>60</v>
      </c>
      <c r="C35" s="33" t="s">
        <v>129</v>
      </c>
      <c r="D35" s="12" t="s">
        <v>135</v>
      </c>
      <c r="E35" s="24" t="s">
        <v>63</v>
      </c>
      <c r="F35" s="17" t="s">
        <v>40</v>
      </c>
      <c r="G35" s="22" t="s">
        <v>70</v>
      </c>
      <c r="H35" s="25" t="s">
        <v>65</v>
      </c>
      <c r="I35" s="22" t="s">
        <v>66</v>
      </c>
      <c r="J35" s="26"/>
      <c r="K35" s="31" t="s">
        <v>131</v>
      </c>
    </row>
    <row r="36" spans="1:11">
      <c r="A36" s="23">
        <v>35</v>
      </c>
      <c r="B36" s="23" t="s">
        <v>60</v>
      </c>
      <c r="C36" s="33" t="s">
        <v>129</v>
      </c>
      <c r="D36" s="12" t="s">
        <v>136</v>
      </c>
      <c r="E36" s="24" t="s">
        <v>63</v>
      </c>
      <c r="F36" s="17" t="s">
        <v>40</v>
      </c>
      <c r="G36" s="22" t="s">
        <v>70</v>
      </c>
      <c r="H36" s="25" t="s">
        <v>65</v>
      </c>
      <c r="I36" s="22" t="s">
        <v>66</v>
      </c>
      <c r="J36" s="30" t="s">
        <v>137</v>
      </c>
      <c r="K36" s="31" t="s">
        <v>138</v>
      </c>
    </row>
    <row r="37" spans="1:11">
      <c r="A37" s="23">
        <v>36</v>
      </c>
      <c r="B37" s="23" t="s">
        <v>60</v>
      </c>
      <c r="C37" s="33" t="s">
        <v>129</v>
      </c>
      <c r="D37" s="12" t="s">
        <v>139</v>
      </c>
      <c r="E37" s="24" t="s">
        <v>63</v>
      </c>
      <c r="F37" s="17" t="s">
        <v>40</v>
      </c>
      <c r="G37" s="22" t="s">
        <v>70</v>
      </c>
      <c r="H37" s="25" t="s">
        <v>65</v>
      </c>
      <c r="I37" s="22" t="s">
        <v>66</v>
      </c>
      <c r="J37" s="26"/>
      <c r="K37" s="31" t="s">
        <v>131</v>
      </c>
    </row>
    <row r="38" spans="1:11">
      <c r="A38" s="23">
        <v>37</v>
      </c>
      <c r="B38" s="23" t="s">
        <v>60</v>
      </c>
      <c r="C38" s="33" t="s">
        <v>129</v>
      </c>
      <c r="D38" s="12" t="s">
        <v>140</v>
      </c>
      <c r="E38" s="24" t="s">
        <v>63</v>
      </c>
      <c r="F38" s="17" t="s">
        <v>40</v>
      </c>
      <c r="G38" s="22" t="s">
        <v>70</v>
      </c>
      <c r="H38" s="25" t="s">
        <v>65</v>
      </c>
      <c r="I38" s="22" t="s">
        <v>66</v>
      </c>
      <c r="J38" s="26"/>
      <c r="K38" s="31" t="s">
        <v>131</v>
      </c>
    </row>
    <row r="39" spans="1:11">
      <c r="A39" s="23">
        <v>38</v>
      </c>
      <c r="B39" s="23" t="s">
        <v>60</v>
      </c>
      <c r="C39" s="33" t="s">
        <v>129</v>
      </c>
      <c r="D39" s="12" t="s">
        <v>141</v>
      </c>
      <c r="E39" s="24" t="s">
        <v>63</v>
      </c>
      <c r="F39" s="17" t="s">
        <v>40</v>
      </c>
      <c r="G39" s="22" t="s">
        <v>70</v>
      </c>
      <c r="H39" s="25" t="s">
        <v>65</v>
      </c>
      <c r="I39" s="22" t="s">
        <v>66</v>
      </c>
      <c r="J39" s="26"/>
      <c r="K39" s="31" t="s">
        <v>142</v>
      </c>
    </row>
    <row r="40" spans="1:11">
      <c r="A40" s="23">
        <v>39</v>
      </c>
      <c r="B40" s="23" t="s">
        <v>60</v>
      </c>
      <c r="C40" s="33" t="s">
        <v>129</v>
      </c>
      <c r="D40" s="12" t="s">
        <v>143</v>
      </c>
      <c r="E40" s="28" t="s">
        <v>69</v>
      </c>
      <c r="F40" s="17" t="s">
        <v>40</v>
      </c>
      <c r="G40" s="22" t="s">
        <v>64</v>
      </c>
      <c r="H40" s="25" t="s">
        <v>65</v>
      </c>
      <c r="I40" s="22" t="s">
        <v>72</v>
      </c>
      <c r="J40" s="26"/>
      <c r="K40" s="31" t="s">
        <v>144</v>
      </c>
    </row>
    <row r="41" spans="1:11">
      <c r="A41" s="23">
        <v>40</v>
      </c>
      <c r="B41" s="23" t="s">
        <v>60</v>
      </c>
      <c r="C41" s="33" t="s">
        <v>129</v>
      </c>
      <c r="D41" s="12" t="s">
        <v>145</v>
      </c>
      <c r="E41" s="28" t="s">
        <v>69</v>
      </c>
      <c r="F41" s="17" t="s">
        <v>40</v>
      </c>
      <c r="G41" s="22" t="s">
        <v>70</v>
      </c>
      <c r="H41" s="25" t="s">
        <v>65</v>
      </c>
      <c r="I41" s="22" t="s">
        <v>72</v>
      </c>
      <c r="J41" s="26"/>
      <c r="K41" s="31" t="s">
        <v>146</v>
      </c>
    </row>
    <row r="42" spans="1:11">
      <c r="A42" s="23">
        <v>41</v>
      </c>
      <c r="B42" s="23" t="s">
        <v>60</v>
      </c>
      <c r="C42" s="33" t="s">
        <v>129</v>
      </c>
      <c r="D42" s="12" t="s">
        <v>147</v>
      </c>
      <c r="E42" s="28" t="s">
        <v>69</v>
      </c>
      <c r="F42" s="17" t="s">
        <v>40</v>
      </c>
      <c r="G42" s="22" t="s">
        <v>70</v>
      </c>
      <c r="H42" s="25" t="s">
        <v>65</v>
      </c>
      <c r="I42" s="22" t="s">
        <v>72</v>
      </c>
      <c r="J42" s="26"/>
      <c r="K42" s="31" t="s">
        <v>148</v>
      </c>
    </row>
    <row r="43" spans="1:11">
      <c r="A43" s="23">
        <v>42</v>
      </c>
      <c r="B43" s="23" t="s">
        <v>60</v>
      </c>
      <c r="C43" s="33" t="s">
        <v>129</v>
      </c>
      <c r="D43" s="12" t="s">
        <v>149</v>
      </c>
      <c r="E43" s="24" t="s">
        <v>63</v>
      </c>
      <c r="F43" s="17" t="s">
        <v>40</v>
      </c>
      <c r="G43" s="22" t="s">
        <v>86</v>
      </c>
      <c r="H43" s="25" t="s">
        <v>65</v>
      </c>
      <c r="I43" s="22" t="s">
        <v>66</v>
      </c>
      <c r="J43" s="26"/>
      <c r="K43" s="31" t="s">
        <v>150</v>
      </c>
    </row>
    <row r="44" spans="1:11">
      <c r="A44" s="23">
        <v>43</v>
      </c>
      <c r="B44" s="23" t="s">
        <v>60</v>
      </c>
      <c r="C44" s="33" t="s">
        <v>129</v>
      </c>
      <c r="D44" s="12" t="s">
        <v>151</v>
      </c>
      <c r="E44" s="24" t="s">
        <v>63</v>
      </c>
      <c r="F44" s="17" t="s">
        <v>40</v>
      </c>
      <c r="G44" s="22" t="s">
        <v>70</v>
      </c>
      <c r="H44" s="25" t="s">
        <v>65</v>
      </c>
      <c r="I44" s="22" t="s">
        <v>66</v>
      </c>
      <c r="J44" s="26"/>
      <c r="K44" s="31" t="s">
        <v>150</v>
      </c>
    </row>
    <row r="45" spans="1:11">
      <c r="A45" s="23">
        <v>44</v>
      </c>
      <c r="B45" s="23" t="s">
        <v>60</v>
      </c>
      <c r="C45" s="33" t="s">
        <v>129</v>
      </c>
      <c r="D45" s="12" t="s">
        <v>152</v>
      </c>
      <c r="E45" s="28" t="s">
        <v>69</v>
      </c>
      <c r="F45" s="17" t="s">
        <v>40</v>
      </c>
      <c r="G45" s="22" t="s">
        <v>70</v>
      </c>
      <c r="H45" s="25" t="s">
        <v>65</v>
      </c>
      <c r="I45" s="22" t="s">
        <v>72</v>
      </c>
      <c r="J45" s="26"/>
      <c r="K45" s="31" t="s">
        <v>153</v>
      </c>
    </row>
    <row r="46" spans="1:11">
      <c r="A46" s="23">
        <v>45</v>
      </c>
      <c r="B46" s="23" t="s">
        <v>60</v>
      </c>
      <c r="C46" s="33" t="s">
        <v>129</v>
      </c>
      <c r="D46" s="12" t="s">
        <v>154</v>
      </c>
      <c r="E46" s="28" t="s">
        <v>69</v>
      </c>
      <c r="F46" s="17" t="s">
        <v>40</v>
      </c>
      <c r="G46" s="22" t="s">
        <v>70</v>
      </c>
      <c r="H46" s="25" t="s">
        <v>65</v>
      </c>
      <c r="I46" s="22" t="s">
        <v>72</v>
      </c>
      <c r="J46" s="26"/>
      <c r="K46" s="31" t="s">
        <v>155</v>
      </c>
    </row>
    <row r="47" spans="1:11">
      <c r="A47" s="23">
        <v>46</v>
      </c>
      <c r="B47" s="23" t="s">
        <v>60</v>
      </c>
      <c r="C47" s="33" t="s">
        <v>129</v>
      </c>
      <c r="D47" s="12" t="s">
        <v>156</v>
      </c>
      <c r="E47" s="28" t="s">
        <v>69</v>
      </c>
      <c r="F47" s="17" t="s">
        <v>40</v>
      </c>
      <c r="G47" s="22" t="s">
        <v>70</v>
      </c>
      <c r="H47" s="25" t="s">
        <v>65</v>
      </c>
      <c r="I47" s="22" t="s">
        <v>72</v>
      </c>
      <c r="J47" s="26"/>
      <c r="K47" s="31" t="s">
        <v>157</v>
      </c>
    </row>
    <row r="48" spans="1:11">
      <c r="A48" s="23">
        <v>47</v>
      </c>
      <c r="B48" s="23" t="s">
        <v>60</v>
      </c>
      <c r="C48" s="33" t="s">
        <v>129</v>
      </c>
      <c r="D48" s="12" t="s">
        <v>158</v>
      </c>
      <c r="E48" s="32" t="s">
        <v>99</v>
      </c>
      <c r="F48" s="17" t="s">
        <v>40</v>
      </c>
      <c r="G48" s="22" t="s">
        <v>64</v>
      </c>
      <c r="H48" s="25" t="s">
        <v>65</v>
      </c>
      <c r="I48" s="22" t="s">
        <v>100</v>
      </c>
      <c r="J48" s="26"/>
      <c r="K48" s="31" t="s">
        <v>159</v>
      </c>
    </row>
    <row r="49" spans="1:11" ht="28">
      <c r="A49" s="23">
        <v>48</v>
      </c>
      <c r="B49" s="23" t="s">
        <v>60</v>
      </c>
      <c r="C49" s="33" t="s">
        <v>129</v>
      </c>
      <c r="D49" s="12" t="s">
        <v>160</v>
      </c>
      <c r="E49" s="24" t="s">
        <v>63</v>
      </c>
      <c r="F49" s="17" t="s">
        <v>40</v>
      </c>
      <c r="G49" s="22" t="s">
        <v>86</v>
      </c>
      <c r="H49" s="25" t="s">
        <v>65</v>
      </c>
      <c r="I49" s="22" t="s">
        <v>66</v>
      </c>
      <c r="J49" s="30" t="s">
        <v>161</v>
      </c>
      <c r="K49" s="31" t="s">
        <v>131</v>
      </c>
    </row>
    <row r="50" spans="1:11" ht="26">
      <c r="A50" s="23">
        <v>49</v>
      </c>
      <c r="B50" s="23" t="s">
        <v>60</v>
      </c>
      <c r="C50" s="33" t="s">
        <v>129</v>
      </c>
      <c r="D50" s="12" t="s">
        <v>162</v>
      </c>
      <c r="E50" s="24" t="s">
        <v>63</v>
      </c>
      <c r="F50" s="17" t="s">
        <v>40</v>
      </c>
      <c r="G50" s="22" t="s">
        <v>163</v>
      </c>
      <c r="H50" s="34" t="s">
        <v>133</v>
      </c>
      <c r="I50" s="22" t="s">
        <v>66</v>
      </c>
      <c r="J50" s="30" t="s">
        <v>164</v>
      </c>
      <c r="K50" s="31" t="s">
        <v>131</v>
      </c>
    </row>
    <row r="51" spans="1:11">
      <c r="A51" s="23">
        <v>50</v>
      </c>
      <c r="B51" s="23" t="s">
        <v>60</v>
      </c>
      <c r="C51" s="33" t="s">
        <v>129</v>
      </c>
      <c r="D51" s="12" t="s">
        <v>165</v>
      </c>
      <c r="E51" s="28" t="s">
        <v>69</v>
      </c>
      <c r="F51" s="17" t="s">
        <v>40</v>
      </c>
      <c r="G51" s="22" t="s">
        <v>70</v>
      </c>
      <c r="H51" s="25" t="s">
        <v>65</v>
      </c>
      <c r="I51" s="22" t="s">
        <v>72</v>
      </c>
      <c r="J51" s="26"/>
      <c r="K51" s="31" t="s">
        <v>131</v>
      </c>
    </row>
    <row r="52" spans="1:11">
      <c r="A52" s="23">
        <v>51</v>
      </c>
      <c r="B52" s="23" t="s">
        <v>60</v>
      </c>
      <c r="C52" s="33" t="s">
        <v>129</v>
      </c>
      <c r="D52" s="12" t="s">
        <v>166</v>
      </c>
      <c r="E52" s="28" t="s">
        <v>69</v>
      </c>
      <c r="F52" s="17" t="s">
        <v>40</v>
      </c>
      <c r="G52" s="22" t="s">
        <v>70</v>
      </c>
      <c r="H52" s="25" t="s">
        <v>65</v>
      </c>
      <c r="I52" s="22" t="s">
        <v>72</v>
      </c>
      <c r="J52" s="26"/>
      <c r="K52" s="31" t="s">
        <v>131</v>
      </c>
    </row>
    <row r="53" spans="1:11">
      <c r="A53" s="23">
        <v>52</v>
      </c>
      <c r="B53" s="23" t="s">
        <v>60</v>
      </c>
      <c r="C53" s="33" t="s">
        <v>129</v>
      </c>
      <c r="D53" s="12" t="s">
        <v>167</v>
      </c>
      <c r="E53" s="24" t="s">
        <v>63</v>
      </c>
      <c r="F53" s="20" t="s">
        <v>45</v>
      </c>
      <c r="G53" s="22" t="s">
        <v>86</v>
      </c>
      <c r="H53" s="25" t="s">
        <v>65</v>
      </c>
      <c r="I53" s="22" t="s">
        <v>66</v>
      </c>
      <c r="J53" s="26"/>
      <c r="K53" s="31" t="s">
        <v>131</v>
      </c>
    </row>
    <row r="54" spans="1:11">
      <c r="A54" s="23">
        <v>53</v>
      </c>
      <c r="B54" s="23" t="s">
        <v>60</v>
      </c>
      <c r="C54" s="33" t="s">
        <v>129</v>
      </c>
      <c r="D54" s="12" t="s">
        <v>168</v>
      </c>
      <c r="E54" s="24" t="s">
        <v>63</v>
      </c>
      <c r="F54" s="20" t="s">
        <v>45</v>
      </c>
      <c r="G54" s="22" t="s">
        <v>70</v>
      </c>
      <c r="H54" s="25" t="s">
        <v>65</v>
      </c>
      <c r="I54" s="22" t="s">
        <v>66</v>
      </c>
      <c r="J54" s="26"/>
      <c r="K54" s="31" t="s">
        <v>131</v>
      </c>
    </row>
    <row r="55" spans="1:11">
      <c r="A55" s="23">
        <v>54</v>
      </c>
      <c r="B55" s="23" t="s">
        <v>60</v>
      </c>
      <c r="C55" s="33" t="s">
        <v>129</v>
      </c>
      <c r="D55" s="12" t="s">
        <v>169</v>
      </c>
      <c r="E55" s="32" t="s">
        <v>99</v>
      </c>
      <c r="F55" s="35" t="s">
        <v>170</v>
      </c>
      <c r="G55" s="22" t="s">
        <v>163</v>
      </c>
      <c r="H55" s="29" t="s">
        <v>71</v>
      </c>
      <c r="I55" s="22" t="s">
        <v>100</v>
      </c>
      <c r="J55" s="30" t="s">
        <v>171</v>
      </c>
      <c r="K55" s="31" t="s">
        <v>131</v>
      </c>
    </row>
    <row r="56" spans="1:11">
      <c r="A56" s="23">
        <v>55</v>
      </c>
      <c r="B56" s="23" t="s">
        <v>60</v>
      </c>
      <c r="C56" s="33" t="s">
        <v>129</v>
      </c>
      <c r="D56" s="12" t="s">
        <v>172</v>
      </c>
      <c r="E56" s="32" t="s">
        <v>99</v>
      </c>
      <c r="F56" s="35" t="s">
        <v>170</v>
      </c>
      <c r="G56" s="22" t="s">
        <v>86</v>
      </c>
      <c r="H56" s="29" t="s">
        <v>71</v>
      </c>
      <c r="I56" s="22" t="s">
        <v>100</v>
      </c>
      <c r="J56" s="30" t="s">
        <v>173</v>
      </c>
      <c r="K56" s="31" t="s">
        <v>174</v>
      </c>
    </row>
    <row r="57" spans="1:11">
      <c r="A57" s="23">
        <v>56</v>
      </c>
      <c r="B57" s="23" t="s">
        <v>60</v>
      </c>
      <c r="C57" s="33" t="s">
        <v>129</v>
      </c>
      <c r="D57" s="12" t="s">
        <v>175</v>
      </c>
      <c r="E57" s="28" t="s">
        <v>69</v>
      </c>
      <c r="F57" s="17" t="s">
        <v>40</v>
      </c>
      <c r="G57" s="22" t="s">
        <v>64</v>
      </c>
      <c r="H57" s="25" t="s">
        <v>65</v>
      </c>
      <c r="I57" s="22" t="s">
        <v>72</v>
      </c>
      <c r="J57" s="30" t="s">
        <v>176</v>
      </c>
      <c r="K57" s="31" t="s">
        <v>177</v>
      </c>
    </row>
    <row r="58" spans="1:11">
      <c r="A58" s="23">
        <v>57</v>
      </c>
      <c r="B58" s="23" t="s">
        <v>60</v>
      </c>
      <c r="C58" s="33" t="s">
        <v>129</v>
      </c>
      <c r="D58" s="12" t="s">
        <v>178</v>
      </c>
      <c r="E58" s="28" t="s">
        <v>69</v>
      </c>
      <c r="F58" s="17" t="s">
        <v>40</v>
      </c>
      <c r="G58" s="22" t="s">
        <v>64</v>
      </c>
      <c r="H58" s="25" t="s">
        <v>65</v>
      </c>
      <c r="I58" s="22" t="s">
        <v>72</v>
      </c>
      <c r="J58" s="26"/>
      <c r="K58" s="31" t="s">
        <v>131</v>
      </c>
    </row>
    <row r="59" spans="1:11">
      <c r="A59" s="23">
        <v>58</v>
      </c>
      <c r="B59" s="23" t="s">
        <v>60</v>
      </c>
      <c r="C59" s="33" t="s">
        <v>129</v>
      </c>
      <c r="D59" s="12" t="s">
        <v>179</v>
      </c>
      <c r="E59" s="28" t="s">
        <v>69</v>
      </c>
      <c r="F59" s="17" t="s">
        <v>40</v>
      </c>
      <c r="G59" s="22" t="s">
        <v>70</v>
      </c>
      <c r="H59" s="25" t="s">
        <v>65</v>
      </c>
      <c r="I59" s="22" t="s">
        <v>72</v>
      </c>
      <c r="J59" s="26"/>
      <c r="K59" s="31" t="s">
        <v>131</v>
      </c>
    </row>
    <row r="60" spans="1:11">
      <c r="A60" s="23">
        <v>59</v>
      </c>
      <c r="B60" s="23" t="s">
        <v>60</v>
      </c>
      <c r="C60" s="33" t="s">
        <v>129</v>
      </c>
      <c r="D60" s="12" t="s">
        <v>180</v>
      </c>
      <c r="E60" s="28" t="s">
        <v>69</v>
      </c>
      <c r="F60" s="17" t="s">
        <v>40</v>
      </c>
      <c r="G60" s="22" t="s">
        <v>70</v>
      </c>
      <c r="H60" s="25" t="s">
        <v>65</v>
      </c>
      <c r="I60" s="22" t="s">
        <v>72</v>
      </c>
      <c r="J60" s="26"/>
      <c r="K60" s="31" t="s">
        <v>131</v>
      </c>
    </row>
    <row r="61" spans="1:11">
      <c r="A61" s="23">
        <v>60</v>
      </c>
      <c r="B61" s="23" t="s">
        <v>60</v>
      </c>
      <c r="C61" s="33" t="s">
        <v>129</v>
      </c>
      <c r="D61" s="12" t="s">
        <v>181</v>
      </c>
      <c r="E61" s="24" t="s">
        <v>63</v>
      </c>
      <c r="F61" s="17" t="s">
        <v>40</v>
      </c>
      <c r="G61" s="22" t="s">
        <v>64</v>
      </c>
      <c r="H61" s="25" t="s">
        <v>65</v>
      </c>
      <c r="I61" s="22" t="s">
        <v>66</v>
      </c>
      <c r="J61" s="26"/>
      <c r="K61" s="31" t="s">
        <v>131</v>
      </c>
    </row>
    <row r="62" spans="1:11">
      <c r="A62" s="23">
        <v>61</v>
      </c>
      <c r="B62" s="23" t="s">
        <v>60</v>
      </c>
      <c r="C62" s="33" t="s">
        <v>129</v>
      </c>
      <c r="D62" s="12" t="s">
        <v>182</v>
      </c>
      <c r="E62" s="24" t="s">
        <v>63</v>
      </c>
      <c r="F62" s="20" t="s">
        <v>45</v>
      </c>
      <c r="G62" s="22" t="s">
        <v>70</v>
      </c>
      <c r="H62" s="25" t="s">
        <v>65</v>
      </c>
      <c r="I62" s="22" t="s">
        <v>66</v>
      </c>
      <c r="J62" s="26"/>
      <c r="K62" s="31" t="s">
        <v>131</v>
      </c>
    </row>
    <row r="63" spans="1:11" ht="28">
      <c r="A63" s="23">
        <v>62</v>
      </c>
      <c r="B63" s="23" t="s">
        <v>60</v>
      </c>
      <c r="C63" s="33" t="s">
        <v>129</v>
      </c>
      <c r="D63" s="12" t="s">
        <v>183</v>
      </c>
      <c r="E63" s="24" t="s">
        <v>63</v>
      </c>
      <c r="F63" s="20" t="s">
        <v>45</v>
      </c>
      <c r="G63" s="22" t="s">
        <v>86</v>
      </c>
      <c r="H63" s="25" t="s">
        <v>65</v>
      </c>
      <c r="I63" s="22" t="s">
        <v>66</v>
      </c>
      <c r="J63" s="30" t="s">
        <v>184</v>
      </c>
      <c r="K63" s="31" t="s">
        <v>131</v>
      </c>
    </row>
    <row r="64" spans="1:11">
      <c r="A64" s="23">
        <v>63</v>
      </c>
      <c r="B64" s="23" t="s">
        <v>60</v>
      </c>
      <c r="C64" s="33" t="s">
        <v>129</v>
      </c>
      <c r="D64" s="12" t="s">
        <v>185</v>
      </c>
      <c r="E64" s="24" t="s">
        <v>63</v>
      </c>
      <c r="F64" s="20" t="s">
        <v>45</v>
      </c>
      <c r="G64" s="22" t="s">
        <v>70</v>
      </c>
      <c r="H64" s="25" t="s">
        <v>65</v>
      </c>
      <c r="I64" s="22" t="s">
        <v>66</v>
      </c>
      <c r="J64" s="26"/>
      <c r="K64" s="31" t="s">
        <v>131</v>
      </c>
    </row>
    <row r="65" spans="1:11">
      <c r="A65" s="23">
        <v>64</v>
      </c>
      <c r="B65" s="23" t="s">
        <v>60</v>
      </c>
      <c r="C65" s="33" t="s">
        <v>129</v>
      </c>
      <c r="D65" s="12" t="s">
        <v>186</v>
      </c>
      <c r="E65" s="24" t="s">
        <v>63</v>
      </c>
      <c r="F65" s="20" t="s">
        <v>45</v>
      </c>
      <c r="G65" s="22" t="s">
        <v>70</v>
      </c>
      <c r="H65" s="25" t="s">
        <v>65</v>
      </c>
      <c r="I65" s="22" t="s">
        <v>66</v>
      </c>
      <c r="J65" s="26"/>
      <c r="K65" s="31" t="s">
        <v>131</v>
      </c>
    </row>
    <row r="66" spans="1:11">
      <c r="A66" s="23">
        <v>65</v>
      </c>
      <c r="B66" s="23" t="s">
        <v>60</v>
      </c>
      <c r="C66" s="33" t="s">
        <v>129</v>
      </c>
      <c r="D66" s="12" t="s">
        <v>187</v>
      </c>
      <c r="E66" s="28" t="s">
        <v>69</v>
      </c>
      <c r="F66" s="20" t="s">
        <v>45</v>
      </c>
      <c r="G66" s="22" t="s">
        <v>70</v>
      </c>
      <c r="H66" s="25" t="s">
        <v>65</v>
      </c>
      <c r="I66" s="22" t="s">
        <v>72</v>
      </c>
      <c r="J66" s="26"/>
      <c r="K66" s="31" t="s">
        <v>131</v>
      </c>
    </row>
    <row r="67" spans="1:11">
      <c r="A67" s="23">
        <v>66</v>
      </c>
      <c r="B67" s="23" t="s">
        <v>60</v>
      </c>
      <c r="C67" s="33" t="s">
        <v>129</v>
      </c>
      <c r="D67" s="12" t="s">
        <v>188</v>
      </c>
      <c r="E67" s="24" t="s">
        <v>63</v>
      </c>
      <c r="F67" s="20" t="s">
        <v>45</v>
      </c>
      <c r="G67" s="22" t="s">
        <v>70</v>
      </c>
      <c r="H67" s="34" t="s">
        <v>133</v>
      </c>
      <c r="I67" s="22" t="s">
        <v>66</v>
      </c>
      <c r="J67" s="26"/>
      <c r="K67" s="31" t="s">
        <v>131</v>
      </c>
    </row>
    <row r="68" spans="1:11">
      <c r="A68" s="23">
        <v>67</v>
      </c>
      <c r="B68" s="23" t="s">
        <v>60</v>
      </c>
      <c r="C68" s="23" t="s">
        <v>189</v>
      </c>
      <c r="D68" s="11" t="s">
        <v>190</v>
      </c>
      <c r="E68" s="28" t="s">
        <v>69</v>
      </c>
      <c r="F68" s="20" t="s">
        <v>45</v>
      </c>
      <c r="G68" s="22" t="s">
        <v>64</v>
      </c>
      <c r="H68" s="25" t="s">
        <v>65</v>
      </c>
      <c r="I68" s="22" t="s">
        <v>72</v>
      </c>
      <c r="J68" s="26"/>
      <c r="K68" s="31" t="s">
        <v>191</v>
      </c>
    </row>
    <row r="69" spans="1:11" ht="26">
      <c r="A69" s="23">
        <v>68</v>
      </c>
      <c r="B69" s="23" t="s">
        <v>60</v>
      </c>
      <c r="C69" s="23" t="s">
        <v>189</v>
      </c>
      <c r="D69" s="11" t="s">
        <v>192</v>
      </c>
      <c r="E69" s="28" t="s">
        <v>69</v>
      </c>
      <c r="F69" s="20" t="s">
        <v>45</v>
      </c>
      <c r="G69" s="22" t="s">
        <v>64</v>
      </c>
      <c r="H69" s="25" t="s">
        <v>65</v>
      </c>
      <c r="I69" s="22" t="s">
        <v>72</v>
      </c>
      <c r="J69" s="26"/>
      <c r="K69" s="31" t="s">
        <v>193</v>
      </c>
    </row>
    <row r="70" spans="1:11">
      <c r="A70" s="23">
        <v>69</v>
      </c>
      <c r="B70" s="23" t="s">
        <v>60</v>
      </c>
      <c r="C70" s="23" t="s">
        <v>189</v>
      </c>
      <c r="D70" s="11" t="s">
        <v>194</v>
      </c>
      <c r="E70" s="28" t="s">
        <v>69</v>
      </c>
      <c r="F70" s="20" t="s">
        <v>45</v>
      </c>
      <c r="G70" s="22" t="s">
        <v>64</v>
      </c>
      <c r="H70" s="25" t="s">
        <v>65</v>
      </c>
      <c r="I70" s="22" t="s">
        <v>72</v>
      </c>
      <c r="J70" s="26"/>
      <c r="K70" s="31"/>
    </row>
    <row r="71" spans="1:11" ht="26">
      <c r="A71" s="23">
        <v>70</v>
      </c>
      <c r="B71" s="23" t="s">
        <v>60</v>
      </c>
      <c r="C71" s="23" t="s">
        <v>189</v>
      </c>
      <c r="D71" s="11" t="s">
        <v>195</v>
      </c>
      <c r="E71" s="28" t="s">
        <v>69</v>
      </c>
      <c r="F71" s="20" t="s">
        <v>45</v>
      </c>
      <c r="G71" s="22" t="s">
        <v>70</v>
      </c>
      <c r="H71" s="25" t="s">
        <v>65</v>
      </c>
      <c r="I71" s="22" t="s">
        <v>72</v>
      </c>
      <c r="J71" s="30" t="s">
        <v>196</v>
      </c>
      <c r="K71" s="27" t="s">
        <v>197</v>
      </c>
    </row>
    <row r="72" spans="1:11">
      <c r="A72" s="23">
        <v>71</v>
      </c>
      <c r="B72" s="23" t="s">
        <v>60</v>
      </c>
      <c r="C72" s="23" t="s">
        <v>189</v>
      </c>
      <c r="D72" s="11" t="s">
        <v>198</v>
      </c>
      <c r="E72" s="28" t="s">
        <v>69</v>
      </c>
      <c r="F72" s="20" t="s">
        <v>45</v>
      </c>
      <c r="G72" s="22" t="s">
        <v>64</v>
      </c>
      <c r="H72" s="25" t="s">
        <v>65</v>
      </c>
      <c r="I72" s="22" t="s">
        <v>72</v>
      </c>
      <c r="J72" s="26"/>
      <c r="K72" s="31" t="s">
        <v>199</v>
      </c>
    </row>
    <row r="73" spans="1:11">
      <c r="A73" s="23">
        <v>72</v>
      </c>
      <c r="B73" s="23" t="s">
        <v>60</v>
      </c>
      <c r="C73" s="23" t="s">
        <v>189</v>
      </c>
      <c r="D73" s="11" t="s">
        <v>200</v>
      </c>
      <c r="E73" s="32" t="s">
        <v>99</v>
      </c>
      <c r="F73" s="20" t="s">
        <v>45</v>
      </c>
      <c r="G73" s="22" t="s">
        <v>64</v>
      </c>
      <c r="H73" s="25" t="s">
        <v>65</v>
      </c>
      <c r="I73" s="22" t="s">
        <v>100</v>
      </c>
      <c r="J73" s="26"/>
      <c r="K73" s="31"/>
    </row>
    <row r="74" spans="1:11">
      <c r="A74" s="23">
        <v>73</v>
      </c>
      <c r="B74" s="23" t="s">
        <v>60</v>
      </c>
      <c r="C74" s="23" t="s">
        <v>189</v>
      </c>
      <c r="D74" s="11" t="s">
        <v>201</v>
      </c>
      <c r="E74" s="28" t="s">
        <v>69</v>
      </c>
      <c r="F74" s="20" t="s">
        <v>45</v>
      </c>
      <c r="G74" s="22" t="s">
        <v>64</v>
      </c>
      <c r="H74" s="25" t="s">
        <v>65</v>
      </c>
      <c r="I74" s="22" t="s">
        <v>72</v>
      </c>
      <c r="J74" s="26"/>
      <c r="K74" s="31" t="s">
        <v>202</v>
      </c>
    </row>
    <row r="75" spans="1:11">
      <c r="A75" s="23">
        <v>74</v>
      </c>
      <c r="B75" s="23" t="s">
        <v>60</v>
      </c>
      <c r="C75" s="23" t="s">
        <v>203</v>
      </c>
      <c r="D75" s="11" t="s">
        <v>204</v>
      </c>
      <c r="E75" s="32" t="s">
        <v>99</v>
      </c>
      <c r="F75" s="20" t="s">
        <v>45</v>
      </c>
      <c r="G75" s="22" t="s">
        <v>70</v>
      </c>
      <c r="H75" s="25" t="s">
        <v>65</v>
      </c>
      <c r="I75" s="22" t="s">
        <v>100</v>
      </c>
      <c r="J75" s="26"/>
      <c r="K75" s="31" t="s">
        <v>205</v>
      </c>
    </row>
    <row r="76" spans="1:11">
      <c r="A76" s="23">
        <v>75</v>
      </c>
      <c r="B76" s="23" t="s">
        <v>60</v>
      </c>
      <c r="C76" s="23" t="s">
        <v>206</v>
      </c>
      <c r="D76" s="11" t="s">
        <v>207</v>
      </c>
      <c r="E76" s="24" t="s">
        <v>63</v>
      </c>
      <c r="F76" s="20" t="s">
        <v>45</v>
      </c>
      <c r="G76" s="22" t="s">
        <v>163</v>
      </c>
      <c r="H76" s="25" t="s">
        <v>65</v>
      </c>
      <c r="I76" s="22" t="s">
        <v>66</v>
      </c>
      <c r="J76" s="26"/>
      <c r="K76" s="31"/>
    </row>
    <row r="77" spans="1:11">
      <c r="A77" s="23">
        <v>76</v>
      </c>
      <c r="B77" s="23" t="s">
        <v>60</v>
      </c>
      <c r="C77" s="23" t="s">
        <v>206</v>
      </c>
      <c r="D77" s="11" t="s">
        <v>208</v>
      </c>
      <c r="E77" s="24" t="s">
        <v>63</v>
      </c>
      <c r="F77" s="20" t="s">
        <v>45</v>
      </c>
      <c r="G77" s="22" t="s">
        <v>70</v>
      </c>
      <c r="H77" s="25" t="s">
        <v>65</v>
      </c>
      <c r="I77" s="22" t="s">
        <v>66</v>
      </c>
      <c r="J77" s="26"/>
      <c r="K77" s="31"/>
    </row>
    <row r="78" spans="1:11">
      <c r="A78" s="23">
        <v>77</v>
      </c>
      <c r="B78" s="23" t="s">
        <v>60</v>
      </c>
      <c r="C78" s="23" t="s">
        <v>206</v>
      </c>
      <c r="D78" s="11" t="s">
        <v>209</v>
      </c>
      <c r="E78" s="24" t="s">
        <v>63</v>
      </c>
      <c r="F78" s="20" t="s">
        <v>45</v>
      </c>
      <c r="G78" s="22" t="s">
        <v>70</v>
      </c>
      <c r="H78" s="25" t="s">
        <v>65</v>
      </c>
      <c r="I78" s="22" t="s">
        <v>66</v>
      </c>
      <c r="J78" s="30" t="s">
        <v>210</v>
      </c>
      <c r="K78" s="31" t="s">
        <v>211</v>
      </c>
    </row>
    <row r="79" spans="1:11">
      <c r="A79" s="23">
        <v>78</v>
      </c>
      <c r="B79" s="23" t="s">
        <v>60</v>
      </c>
      <c r="C79" s="23" t="s">
        <v>206</v>
      </c>
      <c r="D79" s="11" t="s">
        <v>212</v>
      </c>
      <c r="E79" s="24" t="s">
        <v>63</v>
      </c>
      <c r="F79" s="20" t="s">
        <v>45</v>
      </c>
      <c r="G79" s="22" t="s">
        <v>64</v>
      </c>
      <c r="H79" s="25" t="s">
        <v>65</v>
      </c>
      <c r="I79" s="22" t="s">
        <v>66</v>
      </c>
      <c r="J79" s="26"/>
      <c r="K79" s="31"/>
    </row>
    <row r="80" spans="1:11">
      <c r="A80" s="23">
        <v>79</v>
      </c>
      <c r="B80" s="23" t="s">
        <v>60</v>
      </c>
      <c r="C80" s="23" t="s">
        <v>206</v>
      </c>
      <c r="D80" s="11" t="s">
        <v>213</v>
      </c>
      <c r="E80" s="24" t="s">
        <v>63</v>
      </c>
      <c r="F80" s="20" t="s">
        <v>45</v>
      </c>
      <c r="G80" s="22" t="s">
        <v>64</v>
      </c>
      <c r="H80" s="25" t="s">
        <v>65</v>
      </c>
      <c r="I80" s="22" t="s">
        <v>66</v>
      </c>
      <c r="J80" s="26"/>
      <c r="K80" s="31"/>
    </row>
    <row r="81" spans="1:11" ht="26">
      <c r="A81" s="23">
        <v>80</v>
      </c>
      <c r="B81" s="23" t="s">
        <v>60</v>
      </c>
      <c r="C81" s="23" t="s">
        <v>206</v>
      </c>
      <c r="D81" s="11" t="s">
        <v>214</v>
      </c>
      <c r="E81" s="24" t="s">
        <v>63</v>
      </c>
      <c r="F81" s="20" t="s">
        <v>45</v>
      </c>
      <c r="G81" s="22" t="s">
        <v>86</v>
      </c>
      <c r="H81" s="25" t="s">
        <v>65</v>
      </c>
      <c r="I81" s="22" t="s">
        <v>66</v>
      </c>
      <c r="J81" s="30" t="s">
        <v>215</v>
      </c>
      <c r="K81" s="27" t="s">
        <v>216</v>
      </c>
    </row>
    <row r="82" spans="1:11">
      <c r="A82" s="23">
        <v>81</v>
      </c>
      <c r="B82" s="23" t="s">
        <v>60</v>
      </c>
      <c r="C82" s="23" t="s">
        <v>206</v>
      </c>
      <c r="D82" s="11" t="s">
        <v>217</v>
      </c>
      <c r="E82" s="24" t="s">
        <v>63</v>
      </c>
      <c r="F82" s="20" t="s">
        <v>45</v>
      </c>
      <c r="G82" s="22" t="s">
        <v>70</v>
      </c>
      <c r="H82" s="25" t="s">
        <v>65</v>
      </c>
      <c r="I82" s="22" t="s">
        <v>66</v>
      </c>
      <c r="J82" s="26"/>
      <c r="K82" s="31"/>
    </row>
    <row r="83" spans="1:11">
      <c r="A83" s="23">
        <v>82</v>
      </c>
      <c r="B83" s="23" t="s">
        <v>60</v>
      </c>
      <c r="C83" s="23" t="s">
        <v>206</v>
      </c>
      <c r="D83" s="11" t="s">
        <v>218</v>
      </c>
      <c r="E83" s="32" t="s">
        <v>99</v>
      </c>
      <c r="F83" s="20" t="s">
        <v>45</v>
      </c>
      <c r="G83" s="22" t="s">
        <v>70</v>
      </c>
      <c r="H83" s="25" t="s">
        <v>65</v>
      </c>
      <c r="I83" s="22" t="s">
        <v>100</v>
      </c>
      <c r="J83" s="30" t="s">
        <v>219</v>
      </c>
      <c r="K83" s="31" t="s">
        <v>220</v>
      </c>
    </row>
    <row r="84" spans="1:11">
      <c r="A84" s="23">
        <v>83</v>
      </c>
      <c r="B84" s="23" t="s">
        <v>60</v>
      </c>
      <c r="C84" s="23" t="s">
        <v>221</v>
      </c>
      <c r="D84" s="11" t="s">
        <v>222</v>
      </c>
      <c r="E84" s="28" t="s">
        <v>69</v>
      </c>
      <c r="F84" s="20" t="s">
        <v>45</v>
      </c>
      <c r="G84" s="22" t="s">
        <v>64</v>
      </c>
      <c r="H84" s="25" t="s">
        <v>65</v>
      </c>
      <c r="I84" s="22" t="s">
        <v>72</v>
      </c>
      <c r="J84" s="26"/>
      <c r="K84" s="31"/>
    </row>
    <row r="85" spans="1:11">
      <c r="A85" s="23">
        <v>84</v>
      </c>
      <c r="B85" s="23" t="s">
        <v>60</v>
      </c>
      <c r="C85" s="23" t="s">
        <v>221</v>
      </c>
      <c r="D85" s="11" t="s">
        <v>223</v>
      </c>
      <c r="E85" s="24" t="s">
        <v>63</v>
      </c>
      <c r="F85" s="20" t="s">
        <v>45</v>
      </c>
      <c r="G85" s="22" t="s">
        <v>64</v>
      </c>
      <c r="H85" s="25" t="s">
        <v>65</v>
      </c>
      <c r="I85" s="22" t="s">
        <v>66</v>
      </c>
      <c r="J85" s="26"/>
      <c r="K85" s="31"/>
    </row>
    <row r="86" spans="1:11">
      <c r="A86" s="23">
        <v>85</v>
      </c>
      <c r="B86" s="23" t="s">
        <v>60</v>
      </c>
      <c r="C86" s="23" t="s">
        <v>221</v>
      </c>
      <c r="D86" s="11" t="s">
        <v>224</v>
      </c>
      <c r="E86" s="24" t="s">
        <v>63</v>
      </c>
      <c r="F86" s="20" t="s">
        <v>45</v>
      </c>
      <c r="G86" s="22" t="s">
        <v>64</v>
      </c>
      <c r="H86" s="25" t="s">
        <v>65</v>
      </c>
      <c r="I86" s="22" t="s">
        <v>66</v>
      </c>
      <c r="J86" s="26"/>
      <c r="K86" s="31"/>
    </row>
    <row r="87" spans="1:11">
      <c r="A87" s="23">
        <v>86</v>
      </c>
      <c r="B87" s="23" t="s">
        <v>60</v>
      </c>
      <c r="C87" s="23" t="s">
        <v>221</v>
      </c>
      <c r="D87" s="11" t="s">
        <v>225</v>
      </c>
      <c r="E87" s="32" t="s">
        <v>99</v>
      </c>
      <c r="F87" s="20" t="s">
        <v>45</v>
      </c>
      <c r="G87" s="22" t="s">
        <v>64</v>
      </c>
      <c r="H87" s="25" t="s">
        <v>65</v>
      </c>
      <c r="I87" s="22" t="s">
        <v>100</v>
      </c>
      <c r="J87" s="26"/>
      <c r="K87" s="31"/>
    </row>
    <row r="88" spans="1:11">
      <c r="A88" s="23">
        <v>87</v>
      </c>
      <c r="B88" s="23" t="s">
        <v>60</v>
      </c>
      <c r="C88" s="23" t="s">
        <v>226</v>
      </c>
      <c r="D88" s="11" t="s">
        <v>227</v>
      </c>
      <c r="E88" s="28" t="s">
        <v>69</v>
      </c>
      <c r="F88" s="20" t="s">
        <v>45</v>
      </c>
      <c r="G88" s="22" t="s">
        <v>70</v>
      </c>
      <c r="H88" s="25" t="s">
        <v>65</v>
      </c>
      <c r="I88" s="22" t="s">
        <v>72</v>
      </c>
      <c r="J88" s="26"/>
      <c r="K88" s="31" t="s">
        <v>228</v>
      </c>
    </row>
    <row r="89" spans="1:11" ht="28">
      <c r="A89" s="23">
        <v>88</v>
      </c>
      <c r="B89" s="23" t="s">
        <v>60</v>
      </c>
      <c r="C89" s="23" t="s">
        <v>229</v>
      </c>
      <c r="D89" s="11" t="s">
        <v>230</v>
      </c>
      <c r="E89" s="32" t="s">
        <v>99</v>
      </c>
      <c r="F89" s="20" t="s">
        <v>45</v>
      </c>
      <c r="G89" s="22" t="s">
        <v>86</v>
      </c>
      <c r="H89" s="25" t="s">
        <v>65</v>
      </c>
      <c r="I89" s="22" t="s">
        <v>100</v>
      </c>
      <c r="J89" s="26"/>
      <c r="K89" s="31" t="s">
        <v>231</v>
      </c>
    </row>
    <row r="90" spans="1:11">
      <c r="A90" s="23">
        <v>89</v>
      </c>
      <c r="B90" s="23" t="s">
        <v>60</v>
      </c>
      <c r="C90" s="23" t="s">
        <v>229</v>
      </c>
      <c r="D90" s="11" t="s">
        <v>232</v>
      </c>
      <c r="E90" s="32" t="s">
        <v>99</v>
      </c>
      <c r="F90" s="20" t="s">
        <v>45</v>
      </c>
      <c r="G90" s="22" t="s">
        <v>70</v>
      </c>
      <c r="H90" s="25" t="s">
        <v>65</v>
      </c>
      <c r="I90" s="22" t="s">
        <v>100</v>
      </c>
      <c r="J90" s="26"/>
      <c r="K90" s="31"/>
    </row>
    <row r="91" spans="1:11">
      <c r="A91" s="23">
        <v>90</v>
      </c>
      <c r="B91" s="23" t="s">
        <v>60</v>
      </c>
      <c r="C91" s="23" t="s">
        <v>229</v>
      </c>
      <c r="D91" s="11" t="s">
        <v>233</v>
      </c>
      <c r="E91" s="32" t="s">
        <v>99</v>
      </c>
      <c r="F91" s="20" t="s">
        <v>45</v>
      </c>
      <c r="G91" s="22" t="s">
        <v>70</v>
      </c>
      <c r="H91" s="25" t="s">
        <v>65</v>
      </c>
      <c r="I91" s="22" t="s">
        <v>100</v>
      </c>
      <c r="J91" s="26"/>
      <c r="K91" s="31"/>
    </row>
    <row r="92" spans="1:11">
      <c r="A92" s="23">
        <v>91</v>
      </c>
      <c r="B92" s="23" t="s">
        <v>60</v>
      </c>
      <c r="C92" s="23" t="s">
        <v>234</v>
      </c>
      <c r="D92" s="11" t="s">
        <v>235</v>
      </c>
      <c r="E92" s="28" t="s">
        <v>69</v>
      </c>
      <c r="F92" s="20" t="s">
        <v>45</v>
      </c>
      <c r="G92" s="22" t="s">
        <v>86</v>
      </c>
      <c r="H92" s="25" t="s">
        <v>65</v>
      </c>
      <c r="I92" s="22" t="s">
        <v>72</v>
      </c>
      <c r="J92" s="26"/>
      <c r="K92" s="31" t="s">
        <v>236</v>
      </c>
    </row>
    <row r="93" spans="1:11">
      <c r="A93" s="23">
        <v>92</v>
      </c>
      <c r="B93" s="23" t="s">
        <v>60</v>
      </c>
      <c r="C93" s="23" t="s">
        <v>234</v>
      </c>
      <c r="D93" s="11" t="s">
        <v>237</v>
      </c>
      <c r="E93" s="28" t="s">
        <v>69</v>
      </c>
      <c r="F93" s="20" t="s">
        <v>45</v>
      </c>
      <c r="G93" s="22" t="s">
        <v>86</v>
      </c>
      <c r="H93" s="25" t="s">
        <v>65</v>
      </c>
      <c r="I93" s="22" t="s">
        <v>72</v>
      </c>
      <c r="J93" s="26"/>
      <c r="K93" s="31"/>
    </row>
    <row r="94" spans="1:11">
      <c r="A94" s="23">
        <v>93</v>
      </c>
      <c r="B94" s="23" t="s">
        <v>60</v>
      </c>
      <c r="C94" s="23" t="s">
        <v>234</v>
      </c>
      <c r="D94" s="11" t="s">
        <v>238</v>
      </c>
      <c r="E94" s="32" t="s">
        <v>99</v>
      </c>
      <c r="F94" s="20" t="s">
        <v>45</v>
      </c>
      <c r="G94" s="22" t="s">
        <v>86</v>
      </c>
      <c r="H94" s="25" t="s">
        <v>65</v>
      </c>
      <c r="I94" s="22" t="s">
        <v>100</v>
      </c>
      <c r="J94" s="30" t="s">
        <v>219</v>
      </c>
      <c r="K94" s="31" t="s">
        <v>239</v>
      </c>
    </row>
    <row r="95" spans="1:11">
      <c r="A95" s="23">
        <v>94</v>
      </c>
      <c r="B95" s="23" t="s">
        <v>240</v>
      </c>
      <c r="C95" s="23" t="s">
        <v>240</v>
      </c>
      <c r="D95" s="11" t="s">
        <v>241</v>
      </c>
      <c r="E95" s="24" t="s">
        <v>63</v>
      </c>
      <c r="F95" s="20" t="s">
        <v>45</v>
      </c>
      <c r="G95" s="22" t="s">
        <v>70</v>
      </c>
      <c r="H95" s="25" t="s">
        <v>65</v>
      </c>
      <c r="I95" s="22" t="s">
        <v>66</v>
      </c>
      <c r="J95" s="26"/>
      <c r="K95" s="31"/>
    </row>
    <row r="96" spans="1:11">
      <c r="A96" s="23">
        <v>95</v>
      </c>
      <c r="B96" s="23" t="s">
        <v>240</v>
      </c>
      <c r="C96" s="23" t="s">
        <v>242</v>
      </c>
      <c r="D96" s="11" t="s">
        <v>243</v>
      </c>
      <c r="E96" s="28" t="s">
        <v>69</v>
      </c>
      <c r="F96" s="20" t="s">
        <v>45</v>
      </c>
      <c r="G96" s="22" t="s">
        <v>70</v>
      </c>
      <c r="H96" s="25" t="s">
        <v>65</v>
      </c>
      <c r="I96" s="22" t="s">
        <v>72</v>
      </c>
      <c r="J96" s="26"/>
      <c r="K96" s="31" t="s">
        <v>244</v>
      </c>
    </row>
    <row r="97" spans="1:11">
      <c r="A97" s="23">
        <v>96</v>
      </c>
      <c r="B97" s="23" t="s">
        <v>240</v>
      </c>
      <c r="C97" s="23" t="s">
        <v>242</v>
      </c>
      <c r="D97" s="11" t="s">
        <v>245</v>
      </c>
      <c r="E97" s="32" t="s">
        <v>99</v>
      </c>
      <c r="F97" s="20" t="s">
        <v>45</v>
      </c>
      <c r="G97" s="22" t="s">
        <v>64</v>
      </c>
      <c r="H97" s="25" t="s">
        <v>65</v>
      </c>
      <c r="I97" s="22" t="s">
        <v>100</v>
      </c>
      <c r="J97" s="26"/>
      <c r="K97" s="31"/>
    </row>
    <row r="98" spans="1:11">
      <c r="A98" s="23">
        <v>97</v>
      </c>
      <c r="B98" s="23" t="s">
        <v>240</v>
      </c>
      <c r="C98" s="23" t="s">
        <v>246</v>
      </c>
      <c r="D98" s="11" t="s">
        <v>247</v>
      </c>
      <c r="E98" s="28" t="s">
        <v>69</v>
      </c>
      <c r="F98" s="20" t="s">
        <v>45</v>
      </c>
      <c r="G98" s="22" t="s">
        <v>64</v>
      </c>
      <c r="H98" s="25" t="s">
        <v>65</v>
      </c>
      <c r="I98" s="22" t="s">
        <v>72</v>
      </c>
      <c r="J98" s="26"/>
      <c r="K98" s="31"/>
    </row>
    <row r="99" spans="1:11">
      <c r="A99" s="23">
        <v>98</v>
      </c>
      <c r="B99" s="23" t="s">
        <v>240</v>
      </c>
      <c r="C99" s="23" t="s">
        <v>246</v>
      </c>
      <c r="D99" s="11" t="s">
        <v>248</v>
      </c>
      <c r="E99" s="28" t="s">
        <v>69</v>
      </c>
      <c r="F99" s="20" t="s">
        <v>45</v>
      </c>
      <c r="G99" s="22" t="s">
        <v>86</v>
      </c>
      <c r="H99" s="25" t="s">
        <v>65</v>
      </c>
      <c r="I99" s="22" t="s">
        <v>72</v>
      </c>
      <c r="J99" s="26"/>
      <c r="K99" s="27" t="s">
        <v>249</v>
      </c>
    </row>
    <row r="100" spans="1:11">
      <c r="A100" s="23">
        <v>99</v>
      </c>
      <c r="B100" s="23" t="s">
        <v>240</v>
      </c>
      <c r="C100" s="23" t="s">
        <v>246</v>
      </c>
      <c r="D100" s="11" t="s">
        <v>250</v>
      </c>
      <c r="E100" s="28" t="s">
        <v>69</v>
      </c>
      <c r="F100" s="20" t="s">
        <v>45</v>
      </c>
      <c r="G100" s="22" t="s">
        <v>70</v>
      </c>
      <c r="H100" s="25" t="s">
        <v>65</v>
      </c>
      <c r="I100" s="22" t="s">
        <v>72</v>
      </c>
      <c r="J100" s="26"/>
      <c r="K100" s="27" t="s">
        <v>251</v>
      </c>
    </row>
    <row r="101" spans="1:11">
      <c r="A101" s="23">
        <v>100</v>
      </c>
      <c r="B101" s="23" t="s">
        <v>240</v>
      </c>
      <c r="C101" s="23" t="s">
        <v>252</v>
      </c>
      <c r="D101" s="11" t="s">
        <v>253</v>
      </c>
      <c r="E101" s="24" t="s">
        <v>63</v>
      </c>
      <c r="F101" s="17" t="s">
        <v>40</v>
      </c>
      <c r="G101" s="22" t="s">
        <v>86</v>
      </c>
      <c r="H101" s="34" t="s">
        <v>133</v>
      </c>
      <c r="I101" s="22" t="s">
        <v>66</v>
      </c>
      <c r="J101" s="26"/>
      <c r="K101" s="31" t="s">
        <v>254</v>
      </c>
    </row>
    <row r="102" spans="1:11">
      <c r="A102" s="23">
        <v>101</v>
      </c>
      <c r="B102" s="23" t="s">
        <v>240</v>
      </c>
      <c r="C102" s="23" t="s">
        <v>252</v>
      </c>
      <c r="D102" s="11" t="s">
        <v>255</v>
      </c>
      <c r="E102" s="24" t="s">
        <v>63</v>
      </c>
      <c r="F102" s="17" t="s">
        <v>40</v>
      </c>
      <c r="G102" s="22" t="s">
        <v>70</v>
      </c>
      <c r="H102" s="25" t="s">
        <v>65</v>
      </c>
      <c r="I102" s="22" t="s">
        <v>66</v>
      </c>
      <c r="J102" s="26"/>
      <c r="K102" s="31" t="s">
        <v>256</v>
      </c>
    </row>
    <row r="103" spans="1:11">
      <c r="A103" s="23">
        <v>102</v>
      </c>
      <c r="B103" s="23" t="s">
        <v>240</v>
      </c>
      <c r="C103" s="23" t="s">
        <v>252</v>
      </c>
      <c r="D103" s="11" t="s">
        <v>257</v>
      </c>
      <c r="E103" s="24" t="s">
        <v>63</v>
      </c>
      <c r="F103" s="17" t="s">
        <v>40</v>
      </c>
      <c r="G103" s="22" t="s">
        <v>70</v>
      </c>
      <c r="H103" s="25" t="s">
        <v>65</v>
      </c>
      <c r="I103" s="22" t="s">
        <v>66</v>
      </c>
      <c r="J103" s="26"/>
      <c r="K103" s="31" t="s">
        <v>258</v>
      </c>
    </row>
    <row r="104" spans="1:11">
      <c r="A104" s="23">
        <v>103</v>
      </c>
      <c r="B104" s="23" t="s">
        <v>240</v>
      </c>
      <c r="C104" s="23" t="s">
        <v>252</v>
      </c>
      <c r="D104" s="11" t="s">
        <v>259</v>
      </c>
      <c r="E104" s="24" t="s">
        <v>63</v>
      </c>
      <c r="F104" s="17" t="s">
        <v>40</v>
      </c>
      <c r="G104" s="22" t="s">
        <v>70</v>
      </c>
      <c r="H104" s="25" t="s">
        <v>65</v>
      </c>
      <c r="I104" s="22" t="s">
        <v>66</v>
      </c>
      <c r="J104" s="26"/>
      <c r="K104" s="31" t="s">
        <v>260</v>
      </c>
    </row>
    <row r="105" spans="1:11">
      <c r="A105" s="23">
        <v>104</v>
      </c>
      <c r="B105" s="23" t="s">
        <v>240</v>
      </c>
      <c r="C105" s="23" t="s">
        <v>252</v>
      </c>
      <c r="D105" s="11" t="s">
        <v>261</v>
      </c>
      <c r="E105" s="24" t="s">
        <v>63</v>
      </c>
      <c r="F105" s="17" t="s">
        <v>40</v>
      </c>
      <c r="G105" s="22" t="s">
        <v>86</v>
      </c>
      <c r="H105" s="34" t="s">
        <v>133</v>
      </c>
      <c r="I105" s="22" t="s">
        <v>66</v>
      </c>
      <c r="J105" s="26"/>
      <c r="K105" s="27" t="s">
        <v>262</v>
      </c>
    </row>
    <row r="106" spans="1:11">
      <c r="A106" s="23">
        <v>105</v>
      </c>
      <c r="B106" s="23" t="s">
        <v>240</v>
      </c>
      <c r="C106" s="23" t="s">
        <v>252</v>
      </c>
      <c r="D106" s="11" t="s">
        <v>263</v>
      </c>
      <c r="E106" s="24" t="s">
        <v>63</v>
      </c>
      <c r="F106" s="17" t="s">
        <v>40</v>
      </c>
      <c r="G106" s="22" t="s">
        <v>64</v>
      </c>
      <c r="H106" s="34" t="s">
        <v>133</v>
      </c>
      <c r="I106" s="22" t="s">
        <v>66</v>
      </c>
      <c r="J106" s="26"/>
      <c r="K106" s="31"/>
    </row>
    <row r="107" spans="1:11">
      <c r="A107" s="23">
        <v>106</v>
      </c>
      <c r="B107" s="23" t="s">
        <v>240</v>
      </c>
      <c r="C107" s="23" t="s">
        <v>252</v>
      </c>
      <c r="D107" s="11" t="s">
        <v>264</v>
      </c>
      <c r="E107" s="24" t="s">
        <v>63</v>
      </c>
      <c r="F107" s="17" t="s">
        <v>40</v>
      </c>
      <c r="G107" s="22" t="s">
        <v>64</v>
      </c>
      <c r="H107" s="34" t="s">
        <v>133</v>
      </c>
      <c r="I107" s="22" t="s">
        <v>66</v>
      </c>
      <c r="J107" s="26"/>
      <c r="K107" s="31"/>
    </row>
    <row r="108" spans="1:11">
      <c r="A108" s="23">
        <v>107</v>
      </c>
      <c r="B108" s="23" t="s">
        <v>240</v>
      </c>
      <c r="C108" s="23" t="s">
        <v>252</v>
      </c>
      <c r="D108" s="11" t="s">
        <v>265</v>
      </c>
      <c r="E108" s="24" t="s">
        <v>63</v>
      </c>
      <c r="F108" s="17" t="s">
        <v>40</v>
      </c>
      <c r="G108" s="22" t="s">
        <v>64</v>
      </c>
      <c r="H108" s="34" t="s">
        <v>133</v>
      </c>
      <c r="I108" s="22" t="s">
        <v>66</v>
      </c>
      <c r="J108" s="26"/>
      <c r="K108" s="31"/>
    </row>
    <row r="109" spans="1:11">
      <c r="A109" s="23">
        <v>108</v>
      </c>
      <c r="B109" s="23" t="s">
        <v>240</v>
      </c>
      <c r="C109" s="23" t="s">
        <v>252</v>
      </c>
      <c r="D109" s="11" t="s">
        <v>266</v>
      </c>
      <c r="E109" s="24" t="s">
        <v>63</v>
      </c>
      <c r="F109" s="17" t="s">
        <v>40</v>
      </c>
      <c r="G109" s="22" t="s">
        <v>163</v>
      </c>
      <c r="H109" s="34" t="s">
        <v>133</v>
      </c>
      <c r="I109" s="22" t="s">
        <v>66</v>
      </c>
      <c r="J109" s="26"/>
      <c r="K109" s="31" t="s">
        <v>267</v>
      </c>
    </row>
    <row r="110" spans="1:11">
      <c r="A110" s="23">
        <v>109</v>
      </c>
      <c r="B110" s="23" t="s">
        <v>240</v>
      </c>
      <c r="C110" s="23" t="s">
        <v>252</v>
      </c>
      <c r="D110" s="11" t="s">
        <v>268</v>
      </c>
      <c r="E110" s="28" t="s">
        <v>69</v>
      </c>
      <c r="F110" s="17" t="s">
        <v>40</v>
      </c>
      <c r="G110" s="22" t="s">
        <v>70</v>
      </c>
      <c r="H110" s="25" t="s">
        <v>65</v>
      </c>
      <c r="I110" s="22" t="s">
        <v>72</v>
      </c>
      <c r="J110" s="26"/>
      <c r="K110" s="31"/>
    </row>
    <row r="111" spans="1:11">
      <c r="A111" s="23">
        <v>110</v>
      </c>
      <c r="B111" s="23" t="s">
        <v>240</v>
      </c>
      <c r="C111" s="23" t="s">
        <v>252</v>
      </c>
      <c r="D111" s="11" t="s">
        <v>269</v>
      </c>
      <c r="E111" s="28" t="s">
        <v>69</v>
      </c>
      <c r="F111" s="17" t="s">
        <v>40</v>
      </c>
      <c r="G111" s="22" t="s">
        <v>86</v>
      </c>
      <c r="H111" s="25" t="s">
        <v>65</v>
      </c>
      <c r="I111" s="22" t="s">
        <v>72</v>
      </c>
      <c r="J111" s="26"/>
      <c r="K111" s="31"/>
    </row>
    <row r="112" spans="1:11">
      <c r="A112" s="23">
        <v>111</v>
      </c>
      <c r="B112" s="23" t="s">
        <v>240</v>
      </c>
      <c r="C112" s="23" t="s">
        <v>252</v>
      </c>
      <c r="D112" s="11" t="s">
        <v>270</v>
      </c>
      <c r="E112" s="32" t="s">
        <v>99</v>
      </c>
      <c r="F112" s="17" t="s">
        <v>40</v>
      </c>
      <c r="G112" s="22" t="s">
        <v>70</v>
      </c>
      <c r="H112" s="25" t="s">
        <v>65</v>
      </c>
      <c r="I112" s="22" t="s">
        <v>100</v>
      </c>
      <c r="J112" s="30" t="s">
        <v>219</v>
      </c>
      <c r="K112" s="31"/>
    </row>
    <row r="113" spans="1:11">
      <c r="A113" s="23">
        <v>112</v>
      </c>
      <c r="B113" s="23" t="s">
        <v>240</v>
      </c>
      <c r="C113" s="23" t="s">
        <v>252</v>
      </c>
      <c r="D113" s="11" t="s">
        <v>271</v>
      </c>
      <c r="E113" s="28" t="s">
        <v>69</v>
      </c>
      <c r="F113" s="17" t="s">
        <v>40</v>
      </c>
      <c r="G113" s="22" t="s">
        <v>70</v>
      </c>
      <c r="H113" s="25" t="s">
        <v>65</v>
      </c>
      <c r="I113" s="22" t="s">
        <v>72</v>
      </c>
      <c r="J113" s="26"/>
      <c r="K113" s="31"/>
    </row>
    <row r="114" spans="1:11">
      <c r="A114" s="23">
        <v>113</v>
      </c>
      <c r="B114" s="23" t="s">
        <v>240</v>
      </c>
      <c r="C114" s="23" t="s">
        <v>252</v>
      </c>
      <c r="D114" s="11" t="s">
        <v>272</v>
      </c>
      <c r="E114" s="32" t="s">
        <v>99</v>
      </c>
      <c r="F114" s="17" t="s">
        <v>40</v>
      </c>
      <c r="G114" s="22" t="s">
        <v>70</v>
      </c>
      <c r="H114" s="25" t="s">
        <v>65</v>
      </c>
      <c r="I114" s="22" t="s">
        <v>100</v>
      </c>
      <c r="J114" s="30" t="s">
        <v>219</v>
      </c>
      <c r="K114" s="31"/>
    </row>
    <row r="115" spans="1:11">
      <c r="A115" s="23">
        <v>114</v>
      </c>
      <c r="B115" s="23" t="s">
        <v>240</v>
      </c>
      <c r="C115" s="23" t="s">
        <v>273</v>
      </c>
      <c r="D115" s="11" t="s">
        <v>274</v>
      </c>
      <c r="E115" s="28" t="s">
        <v>69</v>
      </c>
      <c r="F115" s="20" t="s">
        <v>45</v>
      </c>
      <c r="G115" s="22" t="s">
        <v>64</v>
      </c>
      <c r="H115" s="25" t="s">
        <v>65</v>
      </c>
      <c r="I115" s="22" t="s">
        <v>72</v>
      </c>
      <c r="J115" s="26"/>
      <c r="K115" s="31"/>
    </row>
    <row r="116" spans="1:11">
      <c r="A116" s="23">
        <v>115</v>
      </c>
      <c r="B116" s="23" t="s">
        <v>240</v>
      </c>
      <c r="C116" s="23" t="s">
        <v>273</v>
      </c>
      <c r="D116" s="11" t="s">
        <v>275</v>
      </c>
      <c r="E116" s="28" t="s">
        <v>69</v>
      </c>
      <c r="F116" s="20" t="s">
        <v>45</v>
      </c>
      <c r="G116" s="22" t="s">
        <v>64</v>
      </c>
      <c r="H116" s="25" t="s">
        <v>65</v>
      </c>
      <c r="I116" s="22" t="s">
        <v>72</v>
      </c>
      <c r="J116" s="26"/>
      <c r="K116" s="31"/>
    </row>
    <row r="117" spans="1:11">
      <c r="A117" s="23">
        <v>116</v>
      </c>
      <c r="B117" s="23" t="s">
        <v>240</v>
      </c>
      <c r="C117" s="23" t="s">
        <v>273</v>
      </c>
      <c r="D117" s="11" t="s">
        <v>276</v>
      </c>
      <c r="E117" s="28" t="s">
        <v>69</v>
      </c>
      <c r="F117" s="20" t="s">
        <v>45</v>
      </c>
      <c r="G117" s="22" t="s">
        <v>70</v>
      </c>
      <c r="H117" s="25" t="s">
        <v>65</v>
      </c>
      <c r="I117" s="22" t="s">
        <v>72</v>
      </c>
      <c r="J117" s="26" t="s">
        <v>277</v>
      </c>
      <c r="K117" s="31" t="s">
        <v>278</v>
      </c>
    </row>
    <row r="118" spans="1:11">
      <c r="A118" s="23">
        <v>117</v>
      </c>
      <c r="B118" s="23" t="s">
        <v>240</v>
      </c>
      <c r="C118" s="23" t="s">
        <v>273</v>
      </c>
      <c r="D118" s="11" t="s">
        <v>279</v>
      </c>
      <c r="E118" s="28" t="s">
        <v>69</v>
      </c>
      <c r="F118" s="20" t="s">
        <v>45</v>
      </c>
      <c r="G118" s="22" t="s">
        <v>64</v>
      </c>
      <c r="H118" s="25" t="s">
        <v>65</v>
      </c>
      <c r="I118" s="22" t="s">
        <v>72</v>
      </c>
      <c r="J118" s="26"/>
      <c r="K118" s="31"/>
    </row>
    <row r="119" spans="1:11">
      <c r="A119" s="23">
        <v>118</v>
      </c>
      <c r="B119" s="23" t="s">
        <v>240</v>
      </c>
      <c r="C119" s="23" t="s">
        <v>273</v>
      </c>
      <c r="D119" s="11" t="s">
        <v>280</v>
      </c>
      <c r="E119" s="32" t="s">
        <v>99</v>
      </c>
      <c r="F119" s="20" t="s">
        <v>45</v>
      </c>
      <c r="G119" s="22" t="s">
        <v>64</v>
      </c>
      <c r="H119" s="25" t="s">
        <v>65</v>
      </c>
      <c r="I119" s="22" t="s">
        <v>100</v>
      </c>
      <c r="J119" s="26"/>
      <c r="K119" s="31"/>
    </row>
    <row r="120" spans="1:11">
      <c r="A120" s="23">
        <v>119</v>
      </c>
      <c r="B120" s="23" t="s">
        <v>240</v>
      </c>
      <c r="C120" s="23" t="s">
        <v>273</v>
      </c>
      <c r="D120" s="11" t="s">
        <v>281</v>
      </c>
      <c r="E120" s="28" t="s">
        <v>69</v>
      </c>
      <c r="F120" s="20" t="s">
        <v>45</v>
      </c>
      <c r="G120" s="22" t="s">
        <v>64</v>
      </c>
      <c r="H120" s="25" t="s">
        <v>65</v>
      </c>
      <c r="I120" s="22" t="s">
        <v>72</v>
      </c>
      <c r="J120" s="26"/>
      <c r="K120" s="31"/>
    </row>
    <row r="121" spans="1:11">
      <c r="A121" s="23">
        <v>120</v>
      </c>
      <c r="B121" s="23" t="s">
        <v>240</v>
      </c>
      <c r="C121" s="23" t="s">
        <v>273</v>
      </c>
      <c r="D121" s="12" t="s">
        <v>282</v>
      </c>
      <c r="E121" s="28" t="s">
        <v>69</v>
      </c>
      <c r="F121" s="20" t="s">
        <v>45</v>
      </c>
      <c r="G121" s="22" t="s">
        <v>64</v>
      </c>
      <c r="H121" s="25" t="s">
        <v>65</v>
      </c>
      <c r="I121" s="22" t="s">
        <v>72</v>
      </c>
      <c r="J121" s="26"/>
      <c r="K121" s="31"/>
    </row>
    <row r="122" spans="1:11">
      <c r="A122" s="23">
        <v>121</v>
      </c>
      <c r="B122" s="23" t="s">
        <v>240</v>
      </c>
      <c r="C122" s="23" t="s">
        <v>273</v>
      </c>
      <c r="D122" s="11" t="s">
        <v>283</v>
      </c>
      <c r="E122" s="32" t="s">
        <v>99</v>
      </c>
      <c r="F122" s="20" t="s">
        <v>45</v>
      </c>
      <c r="G122" s="22" t="s">
        <v>70</v>
      </c>
      <c r="H122" s="25" t="s">
        <v>65</v>
      </c>
      <c r="I122" s="22" t="s">
        <v>100</v>
      </c>
      <c r="J122" s="26"/>
      <c r="K122" s="27" t="s">
        <v>284</v>
      </c>
    </row>
    <row r="123" spans="1:11">
      <c r="A123" s="23">
        <v>122</v>
      </c>
      <c r="B123" s="23" t="s">
        <v>240</v>
      </c>
      <c r="C123" s="23" t="s">
        <v>273</v>
      </c>
      <c r="D123" s="11" t="s">
        <v>285</v>
      </c>
      <c r="E123" s="32" t="s">
        <v>99</v>
      </c>
      <c r="F123" s="20" t="s">
        <v>45</v>
      </c>
      <c r="G123" s="22" t="s">
        <v>70</v>
      </c>
      <c r="H123" s="25" t="s">
        <v>65</v>
      </c>
      <c r="I123" s="22" t="s">
        <v>100</v>
      </c>
      <c r="J123" s="26"/>
      <c r="K123" s="31" t="s">
        <v>286</v>
      </c>
    </row>
    <row r="124" spans="1:11">
      <c r="A124" s="23">
        <v>123</v>
      </c>
      <c r="B124" s="23" t="s">
        <v>240</v>
      </c>
      <c r="C124" s="23" t="s">
        <v>287</v>
      </c>
      <c r="D124" s="11" t="s">
        <v>288</v>
      </c>
      <c r="E124" s="24" t="s">
        <v>63</v>
      </c>
      <c r="F124" s="20" t="s">
        <v>45</v>
      </c>
      <c r="G124" s="22" t="s">
        <v>70</v>
      </c>
      <c r="H124" s="25" t="s">
        <v>65</v>
      </c>
      <c r="I124" s="22" t="s">
        <v>66</v>
      </c>
      <c r="J124" s="26"/>
      <c r="K124" s="31"/>
    </row>
    <row r="125" spans="1:11">
      <c r="A125" s="23">
        <v>124</v>
      </c>
      <c r="B125" s="23" t="s">
        <v>240</v>
      </c>
      <c r="C125" s="23" t="s">
        <v>287</v>
      </c>
      <c r="D125" s="11" t="s">
        <v>289</v>
      </c>
      <c r="E125" s="28" t="s">
        <v>69</v>
      </c>
      <c r="F125" s="20" t="s">
        <v>45</v>
      </c>
      <c r="G125" s="22" t="s">
        <v>64</v>
      </c>
      <c r="H125" s="25" t="s">
        <v>65</v>
      </c>
      <c r="I125" s="22" t="s">
        <v>72</v>
      </c>
      <c r="J125" s="26"/>
      <c r="K125" s="31"/>
    </row>
    <row r="126" spans="1:11">
      <c r="A126" s="23">
        <v>125</v>
      </c>
      <c r="B126" s="23" t="s">
        <v>240</v>
      </c>
      <c r="C126" s="23" t="s">
        <v>287</v>
      </c>
      <c r="D126" s="11" t="s">
        <v>290</v>
      </c>
      <c r="E126" s="28" t="s">
        <v>69</v>
      </c>
      <c r="F126" s="20" t="s">
        <v>45</v>
      </c>
      <c r="G126" s="22" t="s">
        <v>70</v>
      </c>
      <c r="H126" s="29" t="s">
        <v>71</v>
      </c>
      <c r="I126" s="22" t="s">
        <v>72</v>
      </c>
      <c r="J126" s="30" t="s">
        <v>93</v>
      </c>
      <c r="K126" s="31"/>
    </row>
    <row r="127" spans="1:11">
      <c r="A127" s="23">
        <v>126</v>
      </c>
      <c r="B127" s="23" t="s">
        <v>240</v>
      </c>
      <c r="C127" s="23" t="s">
        <v>287</v>
      </c>
      <c r="D127" s="11" t="s">
        <v>291</v>
      </c>
      <c r="E127" s="28" t="s">
        <v>69</v>
      </c>
      <c r="F127" s="20" t="s">
        <v>45</v>
      </c>
      <c r="G127" s="22" t="s">
        <v>86</v>
      </c>
      <c r="H127" s="25" t="s">
        <v>65</v>
      </c>
      <c r="I127" s="22" t="s">
        <v>72</v>
      </c>
      <c r="J127" s="26"/>
      <c r="K127" s="31" t="s">
        <v>292</v>
      </c>
    </row>
    <row r="128" spans="1:11">
      <c r="A128" s="23">
        <v>127</v>
      </c>
      <c r="B128" s="23" t="s">
        <v>240</v>
      </c>
      <c r="C128" s="23" t="s">
        <v>287</v>
      </c>
      <c r="D128" s="11" t="s">
        <v>293</v>
      </c>
      <c r="E128" s="28" t="s">
        <v>69</v>
      </c>
      <c r="F128" s="20" t="s">
        <v>45</v>
      </c>
      <c r="G128" s="22" t="s">
        <v>64</v>
      </c>
      <c r="H128" s="25" t="s">
        <v>65</v>
      </c>
      <c r="I128" s="22" t="s">
        <v>72</v>
      </c>
      <c r="J128" s="26"/>
      <c r="K128" s="31"/>
    </row>
    <row r="129" spans="1:11">
      <c r="A129" s="23">
        <v>128</v>
      </c>
      <c r="B129" s="23" t="s">
        <v>240</v>
      </c>
      <c r="C129" s="23" t="s">
        <v>287</v>
      </c>
      <c r="D129" s="11" t="s">
        <v>294</v>
      </c>
      <c r="E129" s="28" t="s">
        <v>69</v>
      </c>
      <c r="F129" s="20" t="s">
        <v>45</v>
      </c>
      <c r="G129" s="22" t="s">
        <v>64</v>
      </c>
      <c r="H129" s="25" t="s">
        <v>65</v>
      </c>
      <c r="I129" s="22" t="s">
        <v>72</v>
      </c>
      <c r="J129" s="26"/>
      <c r="K129" s="31"/>
    </row>
    <row r="130" spans="1:11">
      <c r="A130" s="23">
        <v>129</v>
      </c>
      <c r="B130" s="23" t="s">
        <v>240</v>
      </c>
      <c r="C130" s="23" t="s">
        <v>295</v>
      </c>
      <c r="D130" s="11" t="s">
        <v>296</v>
      </c>
      <c r="E130" s="28" t="s">
        <v>69</v>
      </c>
      <c r="F130" s="20" t="s">
        <v>45</v>
      </c>
      <c r="G130" s="22" t="s">
        <v>64</v>
      </c>
      <c r="H130" s="25" t="s">
        <v>65</v>
      </c>
      <c r="I130" s="22" t="s">
        <v>72</v>
      </c>
      <c r="J130" s="26"/>
      <c r="K130" s="31"/>
    </row>
    <row r="131" spans="1:11">
      <c r="A131" s="23">
        <v>130</v>
      </c>
      <c r="B131" s="23" t="s">
        <v>240</v>
      </c>
      <c r="C131" s="23" t="s">
        <v>295</v>
      </c>
      <c r="D131" s="11" t="s">
        <v>297</v>
      </c>
      <c r="E131" s="28" t="s">
        <v>69</v>
      </c>
      <c r="F131" s="20" t="s">
        <v>45</v>
      </c>
      <c r="G131" s="22" t="s">
        <v>64</v>
      </c>
      <c r="H131" s="25" t="s">
        <v>65</v>
      </c>
      <c r="I131" s="22" t="s">
        <v>72</v>
      </c>
      <c r="J131" s="26"/>
      <c r="K131" s="31"/>
    </row>
    <row r="132" spans="1:11">
      <c r="A132" s="23">
        <v>131</v>
      </c>
      <c r="B132" s="23" t="s">
        <v>240</v>
      </c>
      <c r="C132" s="23" t="s">
        <v>295</v>
      </c>
      <c r="D132" s="11" t="s">
        <v>298</v>
      </c>
      <c r="E132" s="28" t="s">
        <v>69</v>
      </c>
      <c r="F132" s="20" t="s">
        <v>45</v>
      </c>
      <c r="G132" s="22" t="s">
        <v>64</v>
      </c>
      <c r="H132" s="25" t="s">
        <v>65</v>
      </c>
      <c r="I132" s="22" t="s">
        <v>72</v>
      </c>
      <c r="J132" s="26"/>
      <c r="K132" s="31"/>
    </row>
    <row r="133" spans="1:11">
      <c r="A133" s="23">
        <v>132</v>
      </c>
      <c r="B133" s="23" t="s">
        <v>240</v>
      </c>
      <c r="C133" s="23" t="s">
        <v>295</v>
      </c>
      <c r="D133" s="11" t="s">
        <v>299</v>
      </c>
      <c r="E133" s="32" t="s">
        <v>99</v>
      </c>
      <c r="F133" s="20" t="s">
        <v>45</v>
      </c>
      <c r="G133" s="22" t="s">
        <v>64</v>
      </c>
      <c r="H133" s="25" t="s">
        <v>65</v>
      </c>
      <c r="I133" s="22" t="s">
        <v>100</v>
      </c>
      <c r="J133" s="26"/>
      <c r="K133" s="31"/>
    </row>
    <row r="134" spans="1:11">
      <c r="A134" s="23">
        <v>133</v>
      </c>
      <c r="B134" s="23" t="s">
        <v>240</v>
      </c>
      <c r="C134" s="23" t="s">
        <v>295</v>
      </c>
      <c r="D134" s="11" t="s">
        <v>300</v>
      </c>
      <c r="E134" s="28" t="s">
        <v>69</v>
      </c>
      <c r="F134" s="20" t="s">
        <v>45</v>
      </c>
      <c r="G134" s="22" t="s">
        <v>70</v>
      </c>
      <c r="H134" s="25" t="s">
        <v>65</v>
      </c>
      <c r="I134" s="22" t="s">
        <v>72</v>
      </c>
      <c r="J134" s="26"/>
      <c r="K134" s="31" t="s">
        <v>301</v>
      </c>
    </row>
    <row r="135" spans="1:11">
      <c r="A135" s="23">
        <v>134</v>
      </c>
      <c r="B135" s="23" t="s">
        <v>240</v>
      </c>
      <c r="C135" s="23" t="s">
        <v>295</v>
      </c>
      <c r="D135" s="11" t="s">
        <v>302</v>
      </c>
      <c r="E135" s="28" t="s">
        <v>69</v>
      </c>
      <c r="F135" s="20" t="s">
        <v>45</v>
      </c>
      <c r="G135" s="22" t="s">
        <v>70</v>
      </c>
      <c r="H135" s="25" t="s">
        <v>65</v>
      </c>
      <c r="I135" s="22" t="s">
        <v>72</v>
      </c>
      <c r="J135" s="26"/>
      <c r="K135" s="31" t="s">
        <v>303</v>
      </c>
    </row>
    <row r="136" spans="1:11">
      <c r="A136" s="23">
        <v>135</v>
      </c>
      <c r="B136" s="23" t="s">
        <v>240</v>
      </c>
      <c r="C136" s="23" t="s">
        <v>295</v>
      </c>
      <c r="D136" s="11" t="s">
        <v>304</v>
      </c>
      <c r="E136" s="32" t="s">
        <v>99</v>
      </c>
      <c r="F136" s="20" t="s">
        <v>45</v>
      </c>
      <c r="G136" s="22" t="s">
        <v>70</v>
      </c>
      <c r="H136" s="25" t="s">
        <v>65</v>
      </c>
      <c r="I136" s="22" t="s">
        <v>100</v>
      </c>
      <c r="J136" s="26"/>
      <c r="K136" s="31" t="s">
        <v>305</v>
      </c>
    </row>
    <row r="137" spans="1:11">
      <c r="A137" s="23">
        <v>136</v>
      </c>
      <c r="B137" s="23" t="s">
        <v>240</v>
      </c>
      <c r="C137" s="23" t="s">
        <v>306</v>
      </c>
      <c r="D137" s="11" t="s">
        <v>307</v>
      </c>
      <c r="E137" s="24" t="s">
        <v>63</v>
      </c>
      <c r="F137" s="20" t="s">
        <v>45</v>
      </c>
      <c r="G137" s="22" t="s">
        <v>163</v>
      </c>
      <c r="H137" s="25" t="s">
        <v>65</v>
      </c>
      <c r="I137" s="22" t="s">
        <v>66</v>
      </c>
      <c r="J137" s="26"/>
      <c r="K137" s="31"/>
    </row>
    <row r="138" spans="1:11">
      <c r="A138" s="23">
        <v>137</v>
      </c>
      <c r="B138" s="23" t="s">
        <v>240</v>
      </c>
      <c r="C138" s="23" t="s">
        <v>306</v>
      </c>
      <c r="D138" s="11" t="s">
        <v>308</v>
      </c>
      <c r="E138" s="24" t="s">
        <v>63</v>
      </c>
      <c r="F138" s="20" t="s">
        <v>45</v>
      </c>
      <c r="G138" s="22" t="s">
        <v>86</v>
      </c>
      <c r="H138" s="25" t="s">
        <v>65</v>
      </c>
      <c r="I138" s="22" t="s">
        <v>66</v>
      </c>
      <c r="J138" s="30" t="s">
        <v>309</v>
      </c>
      <c r="K138" s="31"/>
    </row>
    <row r="139" spans="1:11">
      <c r="A139" s="23">
        <v>138</v>
      </c>
      <c r="B139" s="23" t="s">
        <v>240</v>
      </c>
      <c r="C139" s="23" t="s">
        <v>306</v>
      </c>
      <c r="D139" s="11" t="s">
        <v>310</v>
      </c>
      <c r="E139" s="28" t="s">
        <v>69</v>
      </c>
      <c r="F139" s="20" t="s">
        <v>45</v>
      </c>
      <c r="G139" s="22" t="s">
        <v>70</v>
      </c>
      <c r="H139" s="29" t="s">
        <v>71</v>
      </c>
      <c r="I139" s="22" t="s">
        <v>72</v>
      </c>
      <c r="J139" s="26" t="s">
        <v>311</v>
      </c>
      <c r="K139" s="27" t="s">
        <v>312</v>
      </c>
    </row>
    <row r="140" spans="1:11">
      <c r="A140" s="23">
        <v>139</v>
      </c>
      <c r="B140" s="23" t="s">
        <v>240</v>
      </c>
      <c r="C140" s="23" t="s">
        <v>306</v>
      </c>
      <c r="D140" s="11" t="s">
        <v>313</v>
      </c>
      <c r="E140" s="24" t="s">
        <v>63</v>
      </c>
      <c r="F140" s="20" t="s">
        <v>45</v>
      </c>
      <c r="G140" s="22" t="s">
        <v>70</v>
      </c>
      <c r="H140" s="25" t="s">
        <v>65</v>
      </c>
      <c r="I140" s="22" t="s">
        <v>66</v>
      </c>
      <c r="J140" s="26"/>
      <c r="K140" s="31"/>
    </row>
    <row r="141" spans="1:11">
      <c r="A141" s="23">
        <v>140</v>
      </c>
      <c r="B141" s="23" t="s">
        <v>240</v>
      </c>
      <c r="C141" s="23" t="s">
        <v>306</v>
      </c>
      <c r="D141" s="11" t="s">
        <v>314</v>
      </c>
      <c r="E141" s="24" t="s">
        <v>63</v>
      </c>
      <c r="F141" s="20" t="s">
        <v>45</v>
      </c>
      <c r="G141" s="22" t="s">
        <v>70</v>
      </c>
      <c r="H141" s="25" t="s">
        <v>65</v>
      </c>
      <c r="I141" s="22" t="s">
        <v>66</v>
      </c>
      <c r="J141" s="26"/>
      <c r="K141" s="31" t="s">
        <v>315</v>
      </c>
    </row>
    <row r="142" spans="1:11">
      <c r="A142" s="23">
        <v>141</v>
      </c>
      <c r="B142" s="23" t="s">
        <v>240</v>
      </c>
      <c r="C142" s="23" t="s">
        <v>306</v>
      </c>
      <c r="D142" s="11" t="s">
        <v>316</v>
      </c>
      <c r="E142" s="28" t="s">
        <v>69</v>
      </c>
      <c r="F142" s="20" t="s">
        <v>45</v>
      </c>
      <c r="G142" s="22" t="s">
        <v>70</v>
      </c>
      <c r="H142" s="25" t="s">
        <v>65</v>
      </c>
      <c r="I142" s="22" t="s">
        <v>72</v>
      </c>
      <c r="J142" s="26"/>
      <c r="K142" s="31" t="s">
        <v>317</v>
      </c>
    </row>
    <row r="143" spans="1:11">
      <c r="A143" s="23">
        <v>142</v>
      </c>
      <c r="B143" s="23" t="s">
        <v>240</v>
      </c>
      <c r="C143" s="23" t="s">
        <v>306</v>
      </c>
      <c r="D143" s="11" t="s">
        <v>318</v>
      </c>
      <c r="E143" s="28" t="s">
        <v>69</v>
      </c>
      <c r="F143" s="20" t="s">
        <v>45</v>
      </c>
      <c r="G143" s="22" t="s">
        <v>70</v>
      </c>
      <c r="H143" s="25" t="s">
        <v>65</v>
      </c>
      <c r="I143" s="22" t="s">
        <v>72</v>
      </c>
      <c r="J143" s="26" t="s">
        <v>319</v>
      </c>
      <c r="K143" s="31"/>
    </row>
    <row r="144" spans="1:11">
      <c r="A144" s="23">
        <v>143</v>
      </c>
      <c r="B144" s="23" t="s">
        <v>240</v>
      </c>
      <c r="C144" s="23" t="s">
        <v>306</v>
      </c>
      <c r="D144" s="11" t="s">
        <v>320</v>
      </c>
      <c r="E144" s="28" t="s">
        <v>69</v>
      </c>
      <c r="F144" s="20" t="s">
        <v>45</v>
      </c>
      <c r="G144" s="22" t="s">
        <v>64</v>
      </c>
      <c r="H144" s="25" t="s">
        <v>65</v>
      </c>
      <c r="I144" s="22" t="s">
        <v>72</v>
      </c>
      <c r="J144" s="26"/>
      <c r="K144" s="31"/>
    </row>
    <row r="145" spans="1:11">
      <c r="A145" s="23">
        <v>144</v>
      </c>
      <c r="B145" s="23" t="s">
        <v>240</v>
      </c>
      <c r="C145" s="23" t="s">
        <v>306</v>
      </c>
      <c r="D145" s="11" t="s">
        <v>321</v>
      </c>
      <c r="E145" s="28" t="s">
        <v>69</v>
      </c>
      <c r="F145" s="20" t="s">
        <v>45</v>
      </c>
      <c r="G145" s="22" t="s">
        <v>70</v>
      </c>
      <c r="H145" s="29" t="s">
        <v>71</v>
      </c>
      <c r="I145" s="22" t="s">
        <v>72</v>
      </c>
      <c r="J145" s="26" t="s">
        <v>322</v>
      </c>
      <c r="K145" s="31" t="s">
        <v>323</v>
      </c>
    </row>
  </sheetData>
  <autoFilter ref="A1:K145" xr:uid="{00000000-0009-0000-0000-000002000000}"/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showGridLines="0" zoomScaleNormal="100" workbookViewId="0"/>
  </sheetViews>
  <sheetFormatPr baseColWidth="10" defaultColWidth="8.6640625" defaultRowHeight="15"/>
  <cols>
    <col min="1" max="1" width="12" customWidth="1"/>
    <col min="2" max="2" width="24" customWidth="1"/>
    <col min="3" max="3" width="40" customWidth="1"/>
    <col min="4" max="4" width="44" customWidth="1"/>
    <col min="5" max="5" width="34" customWidth="1"/>
  </cols>
  <sheetData>
    <row r="1" spans="1:5" ht="30" customHeight="1">
      <c r="A1" s="8" t="s">
        <v>324</v>
      </c>
      <c r="B1" s="8"/>
      <c r="C1" s="8"/>
      <c r="D1" s="8"/>
      <c r="E1" s="8"/>
    </row>
    <row r="3" spans="1:5" ht="24" customHeight="1">
      <c r="A3" s="21" t="s">
        <v>16</v>
      </c>
      <c r="B3" s="9" t="s">
        <v>325</v>
      </c>
      <c r="C3" s="9" t="s">
        <v>326</v>
      </c>
      <c r="D3" s="9" t="s">
        <v>327</v>
      </c>
      <c r="E3" s="21" t="s">
        <v>328</v>
      </c>
    </row>
    <row r="4" spans="1:5" ht="111.75" customHeight="1">
      <c r="A4" s="36" t="s">
        <v>329</v>
      </c>
      <c r="B4" s="18" t="s">
        <v>330</v>
      </c>
      <c r="C4" s="11" t="s">
        <v>331</v>
      </c>
      <c r="D4" s="11" t="s">
        <v>332</v>
      </c>
      <c r="E4" s="11" t="s">
        <v>333</v>
      </c>
    </row>
    <row r="5" spans="1:5" ht="111.75" customHeight="1">
      <c r="A5" s="24" t="s">
        <v>334</v>
      </c>
      <c r="B5" s="18" t="s">
        <v>335</v>
      </c>
      <c r="C5" s="11" t="s">
        <v>336</v>
      </c>
      <c r="D5" s="11" t="s">
        <v>337</v>
      </c>
      <c r="E5" s="11" t="s">
        <v>338</v>
      </c>
    </row>
    <row r="6" spans="1:5" ht="111.75" customHeight="1">
      <c r="A6" s="28" t="s">
        <v>339</v>
      </c>
      <c r="B6" s="18" t="s">
        <v>340</v>
      </c>
      <c r="C6" s="11" t="s">
        <v>341</v>
      </c>
      <c r="D6" s="11" t="s">
        <v>342</v>
      </c>
      <c r="E6" s="11" t="s">
        <v>343</v>
      </c>
    </row>
    <row r="7" spans="1:5" ht="111.75" customHeight="1">
      <c r="A7" s="32" t="s">
        <v>344</v>
      </c>
      <c r="B7" s="18" t="s">
        <v>345</v>
      </c>
      <c r="C7" s="11" t="s">
        <v>346</v>
      </c>
      <c r="D7" s="11" t="s">
        <v>347</v>
      </c>
      <c r="E7" s="11" t="s">
        <v>348</v>
      </c>
    </row>
  </sheetData>
  <mergeCells count="1">
    <mergeCell ref="A1:E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zoomScaleNormal="100" workbookViewId="0"/>
  </sheetViews>
  <sheetFormatPr baseColWidth="10" defaultColWidth="8.6640625" defaultRowHeight="15"/>
  <cols>
    <col min="1" max="1" width="14" customWidth="1"/>
    <col min="2" max="3" width="12" customWidth="1"/>
    <col min="4" max="6" width="9" customWidth="1"/>
  </cols>
  <sheetData>
    <row r="1" spans="1:6" ht="25.5" customHeight="1">
      <c r="A1" s="2" t="s">
        <v>349</v>
      </c>
      <c r="B1" s="2"/>
      <c r="C1" s="2"/>
      <c r="D1" s="2"/>
      <c r="E1" s="2"/>
      <c r="F1" s="2"/>
    </row>
    <row r="3" spans="1:6">
      <c r="A3" s="9" t="s">
        <v>350</v>
      </c>
      <c r="B3" s="21" t="s">
        <v>63</v>
      </c>
      <c r="C3" s="21" t="s">
        <v>69</v>
      </c>
      <c r="D3" s="21" t="s">
        <v>99</v>
      </c>
      <c r="E3" s="9" t="s">
        <v>351</v>
      </c>
    </row>
    <row r="4" spans="1:6">
      <c r="A4" s="14" t="s">
        <v>34</v>
      </c>
      <c r="B4" s="23">
        <f>COUNTIFS('02_IA마스터'!$F$2:$F$145,$A4,'02_IA마스터'!$E$2:$E$145,B$3)</f>
        <v>0</v>
      </c>
      <c r="C4" s="23">
        <f>COUNTIFS('02_IA마스터'!$F$2:$F$145,$A4,'02_IA마스터'!$E$2:$E$145,C$3)</f>
        <v>0</v>
      </c>
      <c r="D4" s="23">
        <f>COUNTIFS('02_IA마스터'!$F$2:$F$145,$A4,'02_IA마스터'!$E$2:$E$145,D$3)</f>
        <v>0</v>
      </c>
      <c r="E4" s="37">
        <f>SUM(B4:D4)</f>
        <v>0</v>
      </c>
    </row>
    <row r="5" spans="1:6">
      <c r="A5" s="16" t="s">
        <v>40</v>
      </c>
      <c r="B5" s="23">
        <f>COUNTIFS('02_IA마스터'!$F$2:$F$145,$A5,'02_IA마스터'!$E$2:$E$145,B$3)</f>
        <v>20</v>
      </c>
      <c r="C5" s="23">
        <f>COUNTIFS('02_IA마스터'!$F$2:$F$145,$A5,'02_IA마스터'!$E$2:$E$145,C$3)</f>
        <v>15</v>
      </c>
      <c r="D5" s="23">
        <f>COUNTIFS('02_IA마스터'!$F$2:$F$145,$A5,'02_IA마스터'!$E$2:$E$145,D$3)</f>
        <v>3</v>
      </c>
      <c r="E5" s="37">
        <f>SUM(B5:D5)</f>
        <v>38</v>
      </c>
    </row>
    <row r="6" spans="1:6">
      <c r="A6" s="19" t="s">
        <v>45</v>
      </c>
      <c r="B6" s="23">
        <f>COUNTIFS('02_IA마스터'!$F$2:$F$145,$A6,'02_IA마스터'!$E$2:$E$145,B$3)</f>
        <v>37</v>
      </c>
      <c r="C6" s="23">
        <f>COUNTIFS('02_IA마스터'!$F$2:$F$145,$A6,'02_IA마스터'!$E$2:$E$145,C$3)</f>
        <v>49</v>
      </c>
      <c r="D6" s="23">
        <f>COUNTIFS('02_IA마스터'!$F$2:$F$145,$A6,'02_IA마스터'!$E$2:$E$145,D$3)</f>
        <v>18</v>
      </c>
      <c r="E6" s="37">
        <f>SUM(B6:D6)</f>
        <v>104</v>
      </c>
    </row>
    <row r="7" spans="1:6">
      <c r="A7" s="38" t="s">
        <v>170</v>
      </c>
      <c r="B7" s="23">
        <f>COUNTIFS('02_IA마스터'!$F$2:$F$145,$A7,'02_IA마스터'!$E$2:$E$145,B$3)</f>
        <v>0</v>
      </c>
      <c r="C7" s="23">
        <f>COUNTIFS('02_IA마스터'!$F$2:$F$145,$A7,'02_IA마스터'!$E$2:$E$145,C$3)</f>
        <v>0</v>
      </c>
      <c r="D7" s="23">
        <f>COUNTIFS('02_IA마스터'!$F$2:$F$145,$A7,'02_IA마스터'!$E$2:$E$145,D$3)</f>
        <v>2</v>
      </c>
      <c r="E7" s="37">
        <f>SUM(B7:D7)</f>
        <v>2</v>
      </c>
    </row>
    <row r="8" spans="1:6">
      <c r="A8" s="39" t="s">
        <v>351</v>
      </c>
      <c r="B8" s="37">
        <f>SUM(B4:B7)</f>
        <v>57</v>
      </c>
      <c r="C8" s="37">
        <f>SUM(C4:C7)</f>
        <v>64</v>
      </c>
      <c r="D8" s="37">
        <f>SUM(D4:D7)</f>
        <v>23</v>
      </c>
      <c r="E8" s="37">
        <f>SUM(E4:E7)</f>
        <v>144</v>
      </c>
    </row>
    <row r="10" spans="1:6" ht="25.5" customHeight="1">
      <c r="A10" s="2" t="s">
        <v>352</v>
      </c>
      <c r="B10" s="2"/>
      <c r="C10" s="2"/>
      <c r="D10" s="2"/>
      <c r="E10" s="2"/>
      <c r="F10" s="2"/>
    </row>
    <row r="12" spans="1:6">
      <c r="A12" s="9" t="s">
        <v>353</v>
      </c>
      <c r="B12" s="9" t="s">
        <v>133</v>
      </c>
      <c r="C12" s="9" t="s">
        <v>71</v>
      </c>
      <c r="D12" s="9" t="s">
        <v>65</v>
      </c>
    </row>
    <row r="13" spans="1:6">
      <c r="A13" s="40">
        <f>COUNTIF('02_IA마스터'!$H$2:$H$145,"완료")</f>
        <v>0</v>
      </c>
      <c r="B13" s="34">
        <f>COUNTIF('02_IA마스터'!$H$2:$H$145,"진행중")</f>
        <v>9</v>
      </c>
      <c r="C13" s="29">
        <f>COUNTIF('02_IA마스터'!$H$2:$H$145,"대기")</f>
        <v>9</v>
      </c>
      <c r="D13" s="41">
        <f>COUNTIF('02_IA마스터'!$H$2:$H$145,"미착수")</f>
        <v>126</v>
      </c>
    </row>
    <row r="15" spans="1:6" ht="25.5" customHeight="1">
      <c r="A15" s="2" t="s">
        <v>354</v>
      </c>
      <c r="B15" s="2"/>
      <c r="C15" s="2"/>
      <c r="D15" s="2"/>
      <c r="E15" s="2"/>
      <c r="F15" s="2"/>
    </row>
    <row r="17" spans="1:6">
      <c r="A17" s="9" t="s">
        <v>7</v>
      </c>
      <c r="B17" s="9" t="s">
        <v>355</v>
      </c>
      <c r="C17" s="21" t="s">
        <v>356</v>
      </c>
    </row>
    <row r="18" spans="1:6">
      <c r="A18" s="14" t="s">
        <v>34</v>
      </c>
      <c r="B18" s="37">
        <f>COUNTIFS('02_IA마스터'!$F$2:$F$145,$A18,'02_IA마스터'!$G$2:$G$145,"S")+COUNTIFS('02_IA마스터'!$F$2:$F$145,$A18,'02_IA마스터'!$G$2:$G$145,"M")*2+COUNTIFS('02_IA마스터'!$F$2:$F$145,$A18,'02_IA마스터'!$G$2:$G$145,"L")*4+COUNTIFS('02_IA마스터'!$F$2:$F$145,$A18,'02_IA마스터'!$G$2:$G$145,"XL")*8</f>
        <v>0</v>
      </c>
      <c r="C18" s="37">
        <f>COUNTIFS('02_IA마스터'!$F$2:$F$145,$A18,'02_IA마스터'!$G$2:$G$145,"S",'02_IA마스터'!$E$2:$E$145,"P0")+COUNTIFS('02_IA마스터'!$F$2:$F$145,$A18,'02_IA마스터'!$G$2:$G$145,"M",'02_IA마스터'!$E$2:$E$145,"P0")*2+COUNTIFS('02_IA마스터'!$F$2:$F$145,$A18,'02_IA마스터'!$G$2:$G$145,"L",'02_IA마스터'!$E$2:$E$145,"P0")*4+COUNTIFS('02_IA마스터'!$F$2:$F$145,$A18,'02_IA마스터'!$G$2:$G$145,"XL",'02_IA마스터'!$E$2:$E$145,"P0")*8</f>
        <v>0</v>
      </c>
    </row>
    <row r="19" spans="1:6">
      <c r="A19" s="16" t="s">
        <v>40</v>
      </c>
      <c r="B19" s="37">
        <f>COUNTIFS('02_IA마스터'!$F$2:$F$145,$A19,'02_IA마스터'!$G$2:$G$145,"S")+COUNTIFS('02_IA마스터'!$F$2:$F$145,$A19,'02_IA마스터'!$G$2:$G$145,"M")*2+COUNTIFS('02_IA마스터'!$F$2:$F$145,$A19,'02_IA마스터'!$G$2:$G$145,"L")*4+COUNTIFS('02_IA마스터'!$F$2:$F$145,$A19,'02_IA마스터'!$G$2:$G$145,"XL")*8</f>
        <v>92</v>
      </c>
      <c r="C19" s="37">
        <f>COUNTIFS('02_IA마스터'!$F$2:$F$145,$A19,'02_IA마스터'!$G$2:$G$145,"S",'02_IA마스터'!$E$2:$E$145,"P0")+COUNTIFS('02_IA마스터'!$F$2:$F$145,$A19,'02_IA마스터'!$G$2:$G$145,"M",'02_IA마스터'!$E$2:$E$145,"P0")*2+COUNTIFS('02_IA마스터'!$F$2:$F$145,$A19,'02_IA마스터'!$G$2:$G$145,"L",'02_IA마스터'!$E$2:$E$145,"P0")*4+COUNTIFS('02_IA마스터'!$F$2:$F$145,$A19,'02_IA마스터'!$G$2:$G$145,"XL",'02_IA마스터'!$E$2:$E$145,"P0")*8</f>
        <v>58</v>
      </c>
    </row>
    <row r="20" spans="1:6">
      <c r="A20" s="19" t="s">
        <v>45</v>
      </c>
      <c r="B20" s="37">
        <f>COUNTIFS('02_IA마스터'!$F$2:$F$145,$A20,'02_IA마스터'!$G$2:$G$145,"S")+COUNTIFS('02_IA마스터'!$F$2:$F$145,$A20,'02_IA마스터'!$G$2:$G$145,"M")*2+COUNTIFS('02_IA마스터'!$F$2:$F$145,$A20,'02_IA마스터'!$G$2:$G$145,"L")*4+COUNTIFS('02_IA마스터'!$F$2:$F$145,$A20,'02_IA마스터'!$G$2:$G$145,"XL")*8</f>
        <v>201</v>
      </c>
      <c r="C20" s="37">
        <f>COUNTIFS('02_IA마스터'!$F$2:$F$145,$A20,'02_IA마스터'!$G$2:$G$145,"S",'02_IA마스터'!$E$2:$E$145,"P0")+COUNTIFS('02_IA마스터'!$F$2:$F$145,$A20,'02_IA마스터'!$G$2:$G$145,"M",'02_IA마스터'!$E$2:$E$145,"P0")*2+COUNTIFS('02_IA마스터'!$F$2:$F$145,$A20,'02_IA마스터'!$G$2:$G$145,"L",'02_IA마스터'!$E$2:$E$145,"P0")*4+COUNTIFS('02_IA마스터'!$F$2:$F$145,$A20,'02_IA마스터'!$G$2:$G$145,"XL",'02_IA마스터'!$E$2:$E$145,"P0")*8</f>
        <v>82</v>
      </c>
    </row>
    <row r="21" spans="1:6">
      <c r="A21" s="38" t="s">
        <v>170</v>
      </c>
      <c r="B21" s="37">
        <f>COUNTIFS('02_IA마스터'!$F$2:$F$145,$A21,'02_IA마스터'!$G$2:$G$145,"S")+COUNTIFS('02_IA마스터'!$F$2:$F$145,$A21,'02_IA마스터'!$G$2:$G$145,"M")*2+COUNTIFS('02_IA마스터'!$F$2:$F$145,$A21,'02_IA마스터'!$G$2:$G$145,"L")*4+COUNTIFS('02_IA마스터'!$F$2:$F$145,$A21,'02_IA마스터'!$G$2:$G$145,"XL")*8</f>
        <v>12</v>
      </c>
      <c r="C21" s="37">
        <f>COUNTIFS('02_IA마스터'!$F$2:$F$145,$A21,'02_IA마스터'!$G$2:$G$145,"S",'02_IA마스터'!$E$2:$E$145,"P0")+COUNTIFS('02_IA마스터'!$F$2:$F$145,$A21,'02_IA마스터'!$G$2:$G$145,"M",'02_IA마스터'!$E$2:$E$145,"P0")*2+COUNTIFS('02_IA마스터'!$F$2:$F$145,$A21,'02_IA마스터'!$G$2:$G$145,"L",'02_IA마스터'!$E$2:$E$145,"P0")*4+COUNTIFS('02_IA마스터'!$F$2:$F$145,$A21,'02_IA마스터'!$G$2:$G$145,"XL",'02_IA마스터'!$E$2:$E$145,"P0")*8</f>
        <v>0</v>
      </c>
    </row>
    <row r="23" spans="1:6" ht="39.5" customHeight="1">
      <c r="A23" s="1" t="s">
        <v>357</v>
      </c>
      <c r="B23" s="1"/>
      <c r="C23" s="1"/>
      <c r="D23" s="1"/>
      <c r="E23" s="1"/>
      <c r="F23" s="1"/>
    </row>
  </sheetData>
  <mergeCells count="4">
    <mergeCell ref="A1:F1"/>
    <mergeCell ref="A10:F10"/>
    <mergeCell ref="A15:F15"/>
    <mergeCell ref="A23:F23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00_읽는법</vt:lpstr>
      <vt:lpstr>01_역할정의</vt:lpstr>
      <vt:lpstr>02_IA마스터</vt:lpstr>
      <vt:lpstr>03_페이즈일정</vt:lpstr>
      <vt:lpstr>04_진행현황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0</cp:revision>
  <dcterms:created xsi:type="dcterms:W3CDTF">2026-06-15T08:27:40Z</dcterms:created>
  <dcterms:modified xsi:type="dcterms:W3CDTF">2026-06-15T23:50:18Z</dcterms:modified>
  <dc:language>en-US</dc:language>
</cp:coreProperties>
</file>