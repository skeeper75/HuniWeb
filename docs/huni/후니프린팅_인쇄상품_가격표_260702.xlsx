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판걸이수" sheetId="1" r:id="rId4"/>
    <sheet state="visible" name="출력소재(IMPORT)" sheetId="2" r:id="rId5"/>
    <sheet state="visible" name="디지털인쇄비" sheetId="3" r:id="rId6"/>
    <sheet state="visible" name="코팅" sheetId="4" r:id="rId7"/>
    <sheet state="visible" name="접지옵션" sheetId="5" r:id="rId8"/>
    <sheet state="visible" name="인쇄후가공" sheetId="6" r:id="rId9"/>
    <sheet state="visible" name="커팅타공" sheetId="7" r:id="rId10"/>
    <sheet state="visible" name="스티커" sheetId="8" r:id="rId11"/>
    <sheet state="visible" name="합판도무송스티커" sheetId="9" r:id="rId12"/>
    <sheet state="visible" name="봉투제작" sheetId="10" r:id="rId13"/>
    <sheet state="visible" name="명함포토카드" sheetId="11" r:id="rId14"/>
    <sheet state="visible" name="후가공_박(소형)" sheetId="12" r:id="rId15"/>
    <sheet state="visible" name="엽서북떡메" sheetId="13" r:id="rId16"/>
    <sheet state="visible" name="제본" sheetId="14" r:id="rId17"/>
    <sheet state="visible" name="후가공_박(대형)" sheetId="15" r:id="rId18"/>
    <sheet state="visible" name="아크릴" sheetId="16" r:id="rId19"/>
    <sheet state="visible" name="포스터사인" sheetId="17" r:id="rId20"/>
    <sheet state="visible" name="굿즈파우치(구간할인)" sheetId="18" r:id="rId21"/>
    <sheet state="visible" name="후가공_박(백업)" sheetId="19" r:id="rId22"/>
  </sheets>
  <definedNames>
    <definedName hidden="1" localSheetId="0" name="_xlnm._FilterDatabase">'판걸이수'!$G$1:$G$1070</definedName>
  </definedNames>
  <calcPr/>
  <extLst>
    <ext uri="GoogleSheetsCustomDataVersion2">
      <go:sheetsCustomData xmlns:go="http://customooxmlschemas.google.com/" r:id="rId23" roundtripDataChecksum="fKvIJNk2XmaAXDQBf3OSJThwVM9xu1GpPc7hTlXBQYc="/>
    </ext>
  </extLst>
</workbook>
</file>

<file path=xl/sharedStrings.xml><?xml version="1.0" encoding="utf-8"?>
<sst xmlns="http://schemas.openxmlformats.org/spreadsheetml/2006/main" count="2099" uniqueCount="860">
  <si>
    <t>사이즈옵션명</t>
  </si>
  <si>
    <t>재단사이즈</t>
  </si>
  <si>
    <t>블리드</t>
  </si>
  <si>
    <t>작업사이즈</t>
  </si>
  <si>
    <t>상품</t>
  </si>
  <si>
    <t>판걸이</t>
  </si>
  <si>
    <t>디지털인쇄
(국4절)</t>
  </si>
  <si>
    <t>디지털인쇄
(3절)</t>
  </si>
  <si>
    <t>인쇄가능영역</t>
  </si>
  <si>
    <t>원형아이마크영역(완칼)</t>
  </si>
  <si>
    <t>격자아이마크영역(반칼)</t>
  </si>
  <si>
    <t>73 x 98 mm</t>
  </si>
  <si>
    <t>73x98</t>
  </si>
  <si>
    <t>75x100</t>
  </si>
  <si>
    <t>엽서</t>
  </si>
  <si>
    <t>316x467</t>
  </si>
  <si>
    <t>사방  5mm제외</t>
  </si>
  <si>
    <t>98 x 98 mm</t>
  </si>
  <si>
    <t>98x98</t>
  </si>
  <si>
    <t>100x100</t>
  </si>
  <si>
    <t>100 x 150 mm</t>
  </si>
  <si>
    <t>100x150</t>
  </si>
  <si>
    <t>102x152</t>
  </si>
  <si>
    <t>엽서 / 엽서북내지</t>
  </si>
  <si>
    <t>135 x 135 mm</t>
  </si>
  <si>
    <t>135x135</t>
  </si>
  <si>
    <t>137x137</t>
  </si>
  <si>
    <t>95 x 210 mm</t>
  </si>
  <si>
    <t>95x210</t>
  </si>
  <si>
    <t>97x212</t>
  </si>
  <si>
    <t>110 x 170 mm</t>
  </si>
  <si>
    <t>110x170</t>
  </si>
  <si>
    <t>112x172</t>
  </si>
  <si>
    <t>148 x 210 mm</t>
  </si>
  <si>
    <t>148x210</t>
  </si>
  <si>
    <t>150x212</t>
  </si>
  <si>
    <t>90 x 50 mm</t>
  </si>
  <si>
    <t>90x50</t>
  </si>
  <si>
    <t>92x52</t>
  </si>
  <si>
    <t>명함</t>
  </si>
  <si>
    <t>90 x 55 mm</t>
  </si>
  <si>
    <t>90x55</t>
  </si>
  <si>
    <t>92x57</t>
  </si>
  <si>
    <t>86 x 52 mm</t>
  </si>
  <si>
    <t>86x55</t>
  </si>
  <si>
    <t>88x57</t>
  </si>
  <si>
    <t>100x60</t>
  </si>
  <si>
    <t>모양명함</t>
  </si>
  <si>
    <t>좌,우 6mm 제외
상 13mm 제외
하 16mm 제외</t>
  </si>
  <si>
    <t>50 x 50 mm</t>
  </si>
  <si>
    <t>50x50</t>
  </si>
  <si>
    <t>60x60</t>
  </si>
  <si>
    <t>미니모양명함, 라벨택</t>
  </si>
  <si>
    <t>55 x 86 mm</t>
  </si>
  <si>
    <t>55x86</t>
  </si>
  <si>
    <t>57x88</t>
  </si>
  <si>
    <t>포토카드</t>
  </si>
  <si>
    <t>148 x 68 mm</t>
  </si>
  <si>
    <t>148x68</t>
  </si>
  <si>
    <t>152x72</t>
  </si>
  <si>
    <t>상품권</t>
  </si>
  <si>
    <t>148 x 75 mm</t>
  </si>
  <si>
    <t>148x75</t>
  </si>
  <si>
    <t>158x77</t>
  </si>
  <si>
    <t>300 x 100 mm</t>
  </si>
  <si>
    <t>300x100</t>
  </si>
  <si>
    <t>302x102</t>
  </si>
  <si>
    <t>종이슬로건</t>
  </si>
  <si>
    <t>400 x 145 mm</t>
  </si>
  <si>
    <t>400x145</t>
  </si>
  <si>
    <t>402x147</t>
  </si>
  <si>
    <t>50x90 mm - 2단세로접지</t>
  </si>
  <si>
    <t>100x90</t>
  </si>
  <si>
    <t>102x92</t>
  </si>
  <si>
    <t>미니접지카드</t>
  </si>
  <si>
    <t>90x50 mm - 2단가로접지</t>
  </si>
  <si>
    <t>90x100</t>
  </si>
  <si>
    <t>92x102</t>
  </si>
  <si>
    <t>52x86 mm - 2단세로접지</t>
  </si>
  <si>
    <t>104x86</t>
  </si>
  <si>
    <t>106x88</t>
  </si>
  <si>
    <t>85x52 mm - 2단가로접지</t>
  </si>
  <si>
    <t>86x104</t>
  </si>
  <si>
    <t>88x106</t>
  </si>
  <si>
    <t>100x150 mm - 2단세로접지</t>
  </si>
  <si>
    <t>200x150</t>
  </si>
  <si>
    <t>202x152</t>
  </si>
  <si>
    <t>2단접지카드</t>
  </si>
  <si>
    <t>150x100 mm - 2단가로접지</t>
  </si>
  <si>
    <t>150x200</t>
  </si>
  <si>
    <t>152x202</t>
  </si>
  <si>
    <t>135x135mm - 2단세로접지</t>
  </si>
  <si>
    <t>274x139</t>
  </si>
  <si>
    <t>274 x 139</t>
  </si>
  <si>
    <t>135x135mm - 2단가로접지</t>
  </si>
  <si>
    <t>139x274</t>
  </si>
  <si>
    <t>139 x 274</t>
  </si>
  <si>
    <t>110x170mm- 2단세로접지</t>
  </si>
  <si>
    <t>220x170</t>
  </si>
  <si>
    <t>224x174</t>
  </si>
  <si>
    <t>170x110mm- 2단가로접지</t>
  </si>
  <si>
    <t>170x220</t>
  </si>
  <si>
    <t>174x224</t>
  </si>
  <si>
    <t>100x150 mm - 3단세로접지</t>
  </si>
  <si>
    <t>300x150</t>
  </si>
  <si>
    <t>302x152</t>
  </si>
  <si>
    <t>3단접지카드</t>
  </si>
  <si>
    <t>150x100 mm - 3단가로접지</t>
  </si>
  <si>
    <t>150x300</t>
  </si>
  <si>
    <t>152x302</t>
  </si>
  <si>
    <t>135x135mm - 3단세로접지</t>
  </si>
  <si>
    <t>403x135</t>
  </si>
  <si>
    <t>407x139</t>
  </si>
  <si>
    <t>135x135mm - 3단가로접지</t>
  </si>
  <si>
    <t>135x403</t>
  </si>
  <si>
    <t>139x407</t>
  </si>
  <si>
    <t>600 x 150 mm</t>
  </si>
  <si>
    <t>600x150</t>
  </si>
  <si>
    <t>604x154</t>
  </si>
  <si>
    <t>지그재그카드</t>
  </si>
  <si>
    <t>330x660</t>
  </si>
  <si>
    <t>150 x 600 mm</t>
  </si>
  <si>
    <t>150x600</t>
  </si>
  <si>
    <t>154x604</t>
  </si>
  <si>
    <t>76 x 100 mm - 기본형</t>
  </si>
  <si>
    <t>76x100</t>
  </si>
  <si>
    <t>80x104</t>
  </si>
  <si>
    <t>인쇄배경지</t>
  </si>
  <si>
    <t xml:space="preserve"> </t>
  </si>
  <si>
    <t>76 x 100 mm - 커팅형</t>
  </si>
  <si>
    <t>86x110</t>
  </si>
  <si>
    <t>76 x 120 mm - 기본형</t>
  </si>
  <si>
    <t>76x120</t>
  </si>
  <si>
    <t>80x124</t>
  </si>
  <si>
    <t>76 x 120 mm - 커팅형</t>
  </si>
  <si>
    <t>86x130</t>
  </si>
  <si>
    <t>86 x 120 mm - 기본형</t>
  </si>
  <si>
    <t>86x120</t>
  </si>
  <si>
    <t>90x124</t>
  </si>
  <si>
    <t>86 x 120 mm - 커팅형</t>
  </si>
  <si>
    <t>96x130</t>
  </si>
  <si>
    <t>94 x 94 mm - 기본형</t>
  </si>
  <si>
    <t>94x94</t>
  </si>
  <si>
    <t>94 x 94 mm - 커팅형</t>
  </si>
  <si>
    <t>104x104</t>
  </si>
  <si>
    <t>62 x 180 mm - 기본형</t>
  </si>
  <si>
    <t>62x180</t>
  </si>
  <si>
    <t>66x184</t>
  </si>
  <si>
    <t>62 x 180 mm - 커팅형</t>
  </si>
  <si>
    <t>72x190</t>
  </si>
  <si>
    <t>105 x 160 mm - 기본형</t>
  </si>
  <si>
    <t>105x160</t>
  </si>
  <si>
    <t>109x164</t>
  </si>
  <si>
    <t>74 x 74 mm - 기본형</t>
  </si>
  <si>
    <t>74x74</t>
  </si>
  <si>
    <t>78x78</t>
  </si>
  <si>
    <t>74 x 74 mm - 접지형</t>
  </si>
  <si>
    <t>74x148</t>
  </si>
  <si>
    <t>78x152</t>
  </si>
  <si>
    <t>74 x 109 mm - 기본형</t>
  </si>
  <si>
    <t>74x109</t>
  </si>
  <si>
    <t>78x113</t>
  </si>
  <si>
    <t>74 x 109 mm - 상하접지형</t>
  </si>
  <si>
    <t>74x218</t>
  </si>
  <si>
    <t>78x222</t>
  </si>
  <si>
    <t>80 x 80mm</t>
  </si>
  <si>
    <t>80x80</t>
  </si>
  <si>
    <t>84x84</t>
  </si>
  <si>
    <t>인쇄해더택</t>
  </si>
  <si>
    <t>110 x 80mm</t>
  </si>
  <si>
    <t>110x80</t>
  </si>
  <si>
    <t>114x84</t>
  </si>
  <si>
    <t>140 x 80mm</t>
  </si>
  <si>
    <t>140x80</t>
  </si>
  <si>
    <t>144x84</t>
  </si>
  <si>
    <t>160 x 80mm</t>
  </si>
  <si>
    <t>160x80</t>
  </si>
  <si>
    <t>164x84</t>
  </si>
  <si>
    <t>40 x 80 mm</t>
  </si>
  <si>
    <t>40x80</t>
  </si>
  <si>
    <t>50x90</t>
  </si>
  <si>
    <t>라벨택</t>
  </si>
  <si>
    <t>25 x 110 mm</t>
  </si>
  <si>
    <t>25x110</t>
  </si>
  <si>
    <t>35x120</t>
  </si>
  <si>
    <t>A5 (148 x 210mm)</t>
  </si>
  <si>
    <t>152x214</t>
  </si>
  <si>
    <t>전단지 / 책자내지</t>
  </si>
  <si>
    <t>A5 (210 x 148 mm)</t>
  </si>
  <si>
    <t>210 x 148</t>
  </si>
  <si>
    <t>214x152</t>
  </si>
  <si>
    <t>책자내지</t>
  </si>
  <si>
    <t>A4 (210 x 297mm)</t>
  </si>
  <si>
    <t>210x297</t>
  </si>
  <si>
    <t>216x303</t>
  </si>
  <si>
    <t>A4 (297 x 210 mm)</t>
  </si>
  <si>
    <t>297 x 210</t>
  </si>
  <si>
    <t>303x216</t>
  </si>
  <si>
    <t>중철책자 표지 A5</t>
  </si>
  <si>
    <t>296x210</t>
  </si>
  <si>
    <t>중철표지</t>
  </si>
  <si>
    <t>중철책자 표지 A4</t>
  </si>
  <si>
    <t>420x297</t>
  </si>
  <si>
    <t>무선/PUR책자 표지 A5</t>
  </si>
  <si>
    <t>330x210</t>
  </si>
  <si>
    <t>무선표지 / PUR표지</t>
  </si>
  <si>
    <t>무선/PUR책자 표지 A4</t>
  </si>
  <si>
    <t>454x297</t>
  </si>
  <si>
    <t>하드커버무선책자 A5</t>
  </si>
  <si>
    <t>390x268</t>
  </si>
  <si>
    <t>하드커버무선 표지</t>
  </si>
  <si>
    <t>하드커버무선책자 A4</t>
  </si>
  <si>
    <t>532x355</t>
  </si>
  <si>
    <t>하드커버링책자 표지 A5</t>
  </si>
  <si>
    <t>191x253</t>
  </si>
  <si>
    <t>하드커버링책자 표지</t>
  </si>
  <si>
    <t>하드커버링책자 면지 A5</t>
  </si>
  <si>
    <t>151x213</t>
  </si>
  <si>
    <t>하드커버링책자 면지</t>
  </si>
  <si>
    <t>하드커버링책자 표지 A4</t>
  </si>
  <si>
    <t>253x340</t>
  </si>
  <si>
    <t>하드커버링책자 면지 A4</t>
  </si>
  <si>
    <t>213x300</t>
  </si>
  <si>
    <t>A3 (297 x 420mm)</t>
  </si>
  <si>
    <t>297x420</t>
  </si>
  <si>
    <t>303x426</t>
  </si>
  <si>
    <t>전단지</t>
  </si>
  <si>
    <t>A3+ (300 x 440mm)</t>
  </si>
  <si>
    <t>300x440</t>
  </si>
  <si>
    <t>306x446</t>
  </si>
  <si>
    <t>A5</t>
  </si>
  <si>
    <t>접지리플렛</t>
  </si>
  <si>
    <t>A4</t>
  </si>
  <si>
    <t>A3</t>
  </si>
  <si>
    <t>420 x 297</t>
  </si>
  <si>
    <t>426x303</t>
  </si>
  <si>
    <t>3절</t>
  </si>
  <si>
    <t>640 x 297</t>
  </si>
  <si>
    <t>646x303</t>
  </si>
  <si>
    <t>와이드 접지리플렛</t>
  </si>
  <si>
    <t>썬캡</t>
  </si>
  <si>
    <t>320x404</t>
  </si>
  <si>
    <t>330x540</t>
  </si>
  <si>
    <t>A6 (105 x 148 mm)</t>
  </si>
  <si>
    <t>105 x 148</t>
  </si>
  <si>
    <t>105x148</t>
  </si>
  <si>
    <t>반칼스티커</t>
  </si>
  <si>
    <t>317x440</t>
  </si>
  <si>
    <t>사방 10mm 제외</t>
  </si>
  <si>
    <t>A5 (148 x 210 mm)</t>
  </si>
  <si>
    <t>148 x 210</t>
  </si>
  <si>
    <t>A4 (210 x 297 mm)</t>
  </si>
  <si>
    <t>210 x 297</t>
  </si>
  <si>
    <t>100 x 140 mm</t>
  </si>
  <si>
    <t>100 x 140</t>
  </si>
  <si>
    <t>104x144</t>
  </si>
  <si>
    <t>124 x186 mm</t>
  </si>
  <si>
    <t>124 x 186</t>
  </si>
  <si>
    <t>128x190</t>
  </si>
  <si>
    <t>90 x 190 mm</t>
  </si>
  <si>
    <t>90 x 190</t>
  </si>
  <si>
    <t>94x194</t>
  </si>
  <si>
    <t>50 x 70 mm</t>
  </si>
  <si>
    <t>50 x 70</t>
  </si>
  <si>
    <t>50x70</t>
  </si>
  <si>
    <t>소형반칼스티커</t>
  </si>
  <si>
    <t>307x430</t>
  </si>
  <si>
    <t>비즈에서 떨어지는 판형입니다-용기</t>
  </si>
  <si>
    <t>70 x 50 mm</t>
  </si>
  <si>
    <t>70 x 50</t>
  </si>
  <si>
    <t>70x50</t>
  </si>
  <si>
    <t>50 x 94 mm</t>
  </si>
  <si>
    <t>50 x 94</t>
  </si>
  <si>
    <t>50x94</t>
  </si>
  <si>
    <t>94 x 50 mm</t>
  </si>
  <si>
    <t>94 x 50</t>
  </si>
  <si>
    <t>94x50</t>
  </si>
  <si>
    <t>65 x 65 mm</t>
  </si>
  <si>
    <t>65 x 65</t>
  </si>
  <si>
    <t>65x65</t>
  </si>
  <si>
    <t>80 x 80 mm</t>
  </si>
  <si>
    <t>80 x 80</t>
  </si>
  <si>
    <t>94 x 94 mm</t>
  </si>
  <si>
    <t>94 x 94</t>
  </si>
  <si>
    <t>75 x 94 mm</t>
  </si>
  <si>
    <t>75 x 94</t>
  </si>
  <si>
    <t>75x94</t>
  </si>
  <si>
    <t>135 x 135</t>
  </si>
  <si>
    <t>140 x 100 mm</t>
  </si>
  <si>
    <t>140 x 100</t>
  </si>
  <si>
    <t>140x100</t>
  </si>
  <si>
    <t>75 x 110 mm</t>
  </si>
  <si>
    <t>75 x 110</t>
  </si>
  <si>
    <t>75x110</t>
  </si>
  <si>
    <t>스티커팩</t>
  </si>
  <si>
    <t>330x470</t>
  </si>
  <si>
    <t>리무벌지 330*470으로 재단 4*4 판형으로 않혀서 진행 하고 있습니다.</t>
  </si>
  <si>
    <t>220 x 145 mm</t>
  </si>
  <si>
    <t>220 x 145</t>
  </si>
  <si>
    <t>224x149</t>
  </si>
  <si>
    <t>탁상형캘린더</t>
  </si>
  <si>
    <t>130 x 220 mm</t>
  </si>
  <si>
    <t>130 x 220</t>
  </si>
  <si>
    <t>134x224</t>
  </si>
  <si>
    <t>90 x 100 mm</t>
  </si>
  <si>
    <t>90 x 100</t>
  </si>
  <si>
    <t>94x104</t>
  </si>
  <si>
    <t>미니탁상형캘린더</t>
  </si>
  <si>
    <t>148 x 60 mm</t>
  </si>
  <si>
    <t>148 x 60</t>
  </si>
  <si>
    <t>152x64</t>
  </si>
  <si>
    <t>145 x 145 mm</t>
  </si>
  <si>
    <t>145 x 145</t>
  </si>
  <si>
    <t>149x149</t>
  </si>
  <si>
    <t>엽서캘린더</t>
  </si>
  <si>
    <t>220 x 130 mm</t>
  </si>
  <si>
    <t>220 x 130</t>
  </si>
  <si>
    <t>224x134</t>
  </si>
  <si>
    <t>145 x 300 mm</t>
  </si>
  <si>
    <t>145 x 300</t>
  </si>
  <si>
    <t>149x304</t>
  </si>
  <si>
    <t>210 x 297 mm</t>
  </si>
  <si>
    <t>214x301</t>
  </si>
  <si>
    <t>벽결이캘린더</t>
  </si>
  <si>
    <t>210 x 420 mm</t>
  </si>
  <si>
    <t>210 x 420</t>
  </si>
  <si>
    <t>214x424</t>
  </si>
  <si>
    <t>300 x 420 mm</t>
  </si>
  <si>
    <t>300 x 420</t>
  </si>
  <si>
    <t>304x424</t>
  </si>
  <si>
    <t>300 x 625 mm</t>
  </si>
  <si>
    <t>300 x 625</t>
  </si>
  <si>
    <t>304x629</t>
  </si>
  <si>
    <t>와이드벽걸이캘린더</t>
  </si>
  <si>
    <t>디지털인쇄 출력비(국4절)</t>
  </si>
  <si>
    <t>흑백(1도)</t>
  </si>
  <si>
    <t>칼라(CMYK)</t>
  </si>
  <si>
    <t>별색(화이트)</t>
  </si>
  <si>
    <t>별색(클리어)</t>
  </si>
  <si>
    <t>별색(핑크)</t>
  </si>
  <si>
    <t>별색(금색)</t>
  </si>
  <si>
    <t>별색(은색)</t>
  </si>
  <si>
    <t>수량(국4절)</t>
  </si>
  <si>
    <t>단면</t>
  </si>
  <si>
    <t>양면</t>
  </si>
  <si>
    <t>까지</t>
  </si>
  <si>
    <t>디지털인쇄 출력비(3절)</t>
  </si>
  <si>
    <t>수량(3절)</t>
  </si>
  <si>
    <t>코팅(국4절)</t>
  </si>
  <si>
    <t>무광코팅</t>
  </si>
  <si>
    <t>유광코팅</t>
  </si>
  <si>
    <t>코팅(3절)</t>
  </si>
  <si>
    <t>카드접지 단가 (오시+접지)</t>
  </si>
  <si>
    <t>2단</t>
  </si>
  <si>
    <t>3단</t>
  </si>
  <si>
    <t>6단</t>
  </si>
  <si>
    <t>접지옵션명/ 제작수량</t>
  </si>
  <si>
    <t>2단가로접지 / 2단세로접지</t>
  </si>
  <si>
    <t>3단가로접지 / 3단세로접지</t>
  </si>
  <si>
    <t>6단오시접지 / 6단미싱접지</t>
  </si>
  <si>
    <t>리플렛 접지 단가 (오시+접지)</t>
  </si>
  <si>
    <t>반접지</t>
  </si>
  <si>
    <t>3단접지</t>
  </si>
  <si>
    <t>4단병풍접지</t>
  </si>
  <si>
    <t>4단대문접지</t>
  </si>
  <si>
    <t>모서리 (귀돌이, 합가)</t>
  </si>
  <si>
    <t>제작수량</t>
  </si>
  <si>
    <t>직각모서리</t>
  </si>
  <si>
    <t>둥근모서리</t>
  </si>
  <si>
    <t>100장당 1000원씩 올립니다.</t>
  </si>
  <si>
    <t>오시 (합가)</t>
  </si>
  <si>
    <t>미싱 (합가)</t>
  </si>
  <si>
    <t>1줄</t>
  </si>
  <si>
    <t>2줄</t>
  </si>
  <si>
    <t>3줄</t>
  </si>
  <si>
    <t>1,000장당 20,000원씩 올립니다.</t>
  </si>
  <si>
    <t>가변(텍스트)</t>
  </si>
  <si>
    <t>가변(이미지)</t>
  </si>
  <si>
    <t>1개</t>
  </si>
  <si>
    <t>2개</t>
  </si>
  <si>
    <t>3개</t>
  </si>
  <si>
    <t>커팅(완칼) 가공비 (국4절)</t>
  </si>
  <si>
    <t>인쇄비+소재+커팅</t>
  </si>
  <si>
    <t>1장당 2000원씩 올립니다.</t>
  </si>
  <si>
    <t>타공 (단가)</t>
  </si>
  <si>
    <t>헤더택 / 벽걸이캘린더</t>
  </si>
  <si>
    <t>타공 (합가)</t>
  </si>
  <si>
    <t>옵션/ 제작수량</t>
  </si>
  <si>
    <t>1구(6mm)</t>
  </si>
  <si>
    <t>2구(6mm)</t>
  </si>
  <si>
    <t>1구는 100장당 1000원씩 올립니다.</t>
  </si>
  <si>
    <t>2구는 100장당 2000원씩 올립니다.</t>
  </si>
  <si>
    <t xml:space="preserve">반칼 자유형/규격 스티커 (국4절) </t>
  </si>
  <si>
    <t>옵션</t>
  </si>
  <si>
    <t>A5(4판) / 124 x186 mm (4판)</t>
  </si>
  <si>
    <t>A4(2판)</t>
  </si>
  <si>
    <t>A3(1판)</t>
  </si>
  <si>
    <t>90*190(6판)</t>
  </si>
  <si>
    <t>A6(8판)/100*148(8판)</t>
  </si>
  <si>
    <t>90*110(12판)</t>
  </si>
  <si>
    <t>소재 / 수량(국4절)</t>
  </si>
  <si>
    <t>유포/비코팅/미색</t>
  </si>
  <si>
    <t>무광코팅/유광코팅</t>
  </si>
  <si>
    <t>투명/홀로그램</t>
  </si>
  <si>
    <t>종이+인쇄+커팅</t>
  </si>
  <si>
    <t>낱장(완칼) 자유형 스티커</t>
  </si>
  <si>
    <t>국4절에 인쇄하는 것이 아니기 때문에 판걸이수 상관없음</t>
  </si>
  <si>
    <t>B4</t>
  </si>
  <si>
    <t>B3</t>
  </si>
  <si>
    <t>A2</t>
  </si>
  <si>
    <t>낱장(완칼) 자유형 투명스티커</t>
  </si>
  <si>
    <t>대형(완칼) 자유형 스티커</t>
  </si>
  <si>
    <t>400x600</t>
  </si>
  <si>
    <t>타투 스티커 (3장단위)</t>
  </si>
  <si>
    <t>단가</t>
  </si>
  <si>
    <t>90x190</t>
  </si>
  <si>
    <t>3장마다 4000원이라는 의미</t>
  </si>
  <si>
    <t>기본가</t>
  </si>
  <si>
    <t xml:space="preserve">스티커팩 (54장 1세트) </t>
  </si>
  <si>
    <t>합판 도무송 스티커(원형)</t>
  </si>
  <si>
    <t>원형 10mm</t>
  </si>
  <si>
    <t>원형 15mm</t>
  </si>
  <si>
    <t>원형 20mm</t>
  </si>
  <si>
    <t>원형 25mm</t>
  </si>
  <si>
    <t>원형 30mm</t>
  </si>
  <si>
    <t>원형 35mm</t>
  </si>
  <si>
    <t>원형 40mm</t>
  </si>
  <si>
    <t>원형 45mm</t>
  </si>
  <si>
    <t>원형 50mm</t>
  </si>
  <si>
    <t>원형 55mm</t>
  </si>
  <si>
    <t>원형 60mm</t>
  </si>
  <si>
    <t>소재 / 제작수량</t>
  </si>
  <si>
    <t>비코팅/무광코팅/유광코팅</t>
  </si>
  <si>
    <t>유포/투명데드롱/은데드롱</t>
  </si>
  <si>
    <t>합판 도무송 스티커(정사각)</t>
  </si>
  <si>
    <t>정사각 10 x 10mm</t>
  </si>
  <si>
    <t>정사각 15 x 15mm</t>
  </si>
  <si>
    <t>정사각 20 x 20mm</t>
  </si>
  <si>
    <t>정사각 25 x 25mm</t>
  </si>
  <si>
    <t>정사각 30 x 30mm</t>
  </si>
  <si>
    <t>정사각 35 x 35mm</t>
  </si>
  <si>
    <t>정사각 40 x 40mm</t>
  </si>
  <si>
    <t>정사각 45 x 45mm</t>
  </si>
  <si>
    <t>정사각 50 x 50mm</t>
  </si>
  <si>
    <t>정사각 55 x 55mm</t>
  </si>
  <si>
    <t>정사각 60 x 60mm</t>
  </si>
  <si>
    <t>정사각 90 x 90mm</t>
  </si>
  <si>
    <t>합판 도무송 스티커 (직사각)</t>
  </si>
  <si>
    <t>직사각 35 x 25mm</t>
  </si>
  <si>
    <t>직사각 40 x 30mm</t>
  </si>
  <si>
    <t>직사각 42 x 20mm</t>
  </si>
  <si>
    <t>직사각 50 x 20mm</t>
  </si>
  <si>
    <t>직사각 50 x 30mm</t>
  </si>
  <si>
    <t>직사각 55 x 15mm</t>
  </si>
  <si>
    <t>직사각 55 x 20mm</t>
  </si>
  <si>
    <t>직사각 55 x 24mm</t>
  </si>
  <si>
    <t>직사각 55 x 33mm</t>
  </si>
  <si>
    <t>직사각 90 x 40mm</t>
  </si>
  <si>
    <t>직사각 90 x 50mm</t>
  </si>
  <si>
    <t>직사각 90 x 60mm</t>
  </si>
  <si>
    <t>직사각 90 x 70mm</t>
  </si>
  <si>
    <t>직사각 90 x 80mm</t>
  </si>
  <si>
    <t>봉투제작</t>
  </si>
  <si>
    <t>티켓봉투</t>
  </si>
  <si>
    <t>소봉투</t>
  </si>
  <si>
    <t>자켓봉투</t>
  </si>
  <si>
    <t>대봉투</t>
  </si>
  <si>
    <t>모조 120g</t>
  </si>
  <si>
    <t xml:space="preserve">레자크체크백색 110g / 레자크줄무늬백색 110g </t>
  </si>
  <si>
    <t>스탠다드명함</t>
  </si>
  <si>
    <t>백모조220 / 아트250 / 스노우250</t>
  </si>
  <si>
    <t>아트300 / 스노우300</t>
  </si>
  <si>
    <t>프리미엄명함</t>
  </si>
  <si>
    <t>A</t>
  </si>
  <si>
    <t>B</t>
  </si>
  <si>
    <t>A : 랑데뷰240 / 랑데뷰310 / 몽블랑210 / 몽블랑240 / 아코팩250 / 리사이클러스240 / 매쉬멜로우233
B : 린넨커버 216 / 스타화이트 238  / 클래식크러스트 270 / 띤또레또200 / 띤또레또250 / 한지170 / 스코트렌드220</t>
  </si>
  <si>
    <t>코팅명함</t>
  </si>
  <si>
    <t>아트250</t>
  </si>
  <si>
    <t>아트300</t>
  </si>
  <si>
    <t>펄명함 (스타드림)</t>
  </si>
  <si>
    <t>다이아 240 / 실버 240 / 골드 240</t>
  </si>
  <si>
    <t>로츠쿼츠 240</t>
  </si>
  <si>
    <t>투명명함</t>
  </si>
  <si>
    <t>투명PET 260 / 반투명PET 260</t>
  </si>
  <si>
    <t>화이트인쇄명함 (큐리어스스킨)</t>
  </si>
  <si>
    <t>화이트(단면)+클리어(없음)</t>
  </si>
  <si>
    <t>화이트(단면)+클리어(단면)</t>
  </si>
  <si>
    <t>화이트(양면)+클리어(없음)</t>
  </si>
  <si>
    <t>화이트(양면)+클리어(양면)</t>
  </si>
  <si>
    <t>A : 큐리어스스킨 화이트 / 레드 / 다크블루 / 바이올렛 / 블랙</t>
  </si>
  <si>
    <t>모양명함 (90x50)</t>
  </si>
  <si>
    <t>몽블랑240</t>
  </si>
  <si>
    <t>미니모양명함 (50x50)</t>
  </si>
  <si>
    <t>오리지널박명함</t>
  </si>
  <si>
    <t>종이+동판+박가공비</t>
  </si>
  <si>
    <t>금유광, 은유광, 먹유광, 청박, 적박, 동박</t>
  </si>
  <si>
    <t>홀로그램 / 트윙클</t>
  </si>
  <si>
    <t>기본가(아연판)</t>
  </si>
  <si>
    <t>포토카드(20장1세트)</t>
  </si>
  <si>
    <t>투명포토카드(20장1세트)</t>
  </si>
  <si>
    <t>세트제작수량</t>
  </si>
  <si>
    <t>주문수량</t>
  </si>
  <si>
    <t>포토카드(대랑제작)</t>
  </si>
  <si>
    <t>총제작수량</t>
  </si>
  <si>
    <t>가격</t>
  </si>
  <si>
    <t>3000개를 넘었을 경우 계산</t>
  </si>
  <si>
    <t>마지막 구간 장당 가격을 구해서 주문수량 곱</t>
  </si>
  <si>
    <t>동판비</t>
  </si>
  <si>
    <t>수량</t>
  </si>
  <si>
    <t>80x40mm</t>
  </si>
  <si>
    <t>*아연판</t>
  </si>
  <si>
    <t>소형박 가공비 일반박 면적당가격 정의 (금유광, 은유광, 먹유광, 청박, 적박, 동박, 펄박)</t>
  </si>
  <si>
    <t>소형박 가공비 일반박 수량별 가격 (금유광, 은유광, 먹유광, 청박, 적박, 동박, 펄박)</t>
  </si>
  <si>
    <t>가로/세로</t>
  </si>
  <si>
    <t>10mm</t>
  </si>
  <si>
    <t>20mm</t>
  </si>
  <si>
    <t>40mm</t>
  </si>
  <si>
    <t>60mm</t>
  </si>
  <si>
    <t>80mm</t>
  </si>
  <si>
    <t>분류 / 수량</t>
  </si>
  <si>
    <t>C</t>
  </si>
  <si>
    <t>D</t>
  </si>
  <si>
    <t>E</t>
  </si>
  <si>
    <t xml:space="preserve">E </t>
  </si>
  <si>
    <t>소형박 가공비 특수박 면적당가격 정의 (백박, 홀로그램박, 트윙클박)</t>
  </si>
  <si>
    <t>소형박 가공비 특수박 수량별 가격 (백박, 홀로그램박, 트윙클박)</t>
  </si>
  <si>
    <t>엽서북</t>
  </si>
  <si>
    <t>사이즈</t>
  </si>
  <si>
    <t>100*150</t>
  </si>
  <si>
    <t>150*100</t>
  </si>
  <si>
    <t>135*135</t>
  </si>
  <si>
    <t>인쇄</t>
  </si>
  <si>
    <t>페이지 / 수량</t>
  </si>
  <si>
    <t>20P</t>
  </si>
  <si>
    <t>30P</t>
  </si>
  <si>
    <t>떡메모지</t>
  </si>
  <si>
    <t>90x90mm</t>
  </si>
  <si>
    <t>70x120mm</t>
  </si>
  <si>
    <t>장수 / 수량</t>
  </si>
  <si>
    <t>50장 1권</t>
  </si>
  <si>
    <t>100장 1권</t>
  </si>
  <si>
    <t>제본비</t>
  </si>
  <si>
    <t>제본/수량</t>
  </si>
  <si>
    <t>중철제본</t>
  </si>
  <si>
    <t>무선제본</t>
  </si>
  <si>
    <t>트윈링제본</t>
  </si>
  <si>
    <t>PUR제본</t>
  </si>
  <si>
    <t>하드커버 제본비</t>
  </si>
  <si>
    <t>표지비용 따로 계산</t>
  </si>
  <si>
    <t>하드커버무선</t>
  </si>
  <si>
    <t>하드커버트윈링</t>
  </si>
  <si>
    <t>싸바리바인더</t>
  </si>
  <si>
    <t>캘린더 제본비</t>
  </si>
  <si>
    <t>삼각대 포함</t>
  </si>
  <si>
    <t>벽걸이캘린더제본</t>
  </si>
  <si>
    <t>탁상형캘린더제본(220)</t>
  </si>
  <si>
    <t>탁상형캘린더제본(130)</t>
  </si>
  <si>
    <t>탁상형캘린더제본(미니)</t>
  </si>
  <si>
    <t>가로 / 세로</t>
  </si>
  <si>
    <t>30mm</t>
  </si>
  <si>
    <t>50mm</t>
  </si>
  <si>
    <t>70mm</t>
  </si>
  <si>
    <t>90mm</t>
  </si>
  <si>
    <t>110mm</t>
  </si>
  <si>
    <t>130mm</t>
  </si>
  <si>
    <t>150mm</t>
  </si>
  <si>
    <t>170mm</t>
  </si>
  <si>
    <t>대형박 가공비 일반박 면적당가격 정의 (금유광, 금무광, 은유광, 은무광,동박,청박)</t>
  </si>
  <si>
    <t>대형박 가공비 일반박 수량별 가격 (금유광, 금무광, 은유광, 은무광,동박,청박)</t>
  </si>
  <si>
    <t>대형박 가공비 특수박 면적당가격 정의 (먹유광, 백박, 홀로그램, 트윙클, 적박, 녹박)</t>
  </si>
  <si>
    <t>대형박 가공비 특수박 수량별 가격 (먹유광, 백박, 홀로그램, 트윙클, 적박, 녹박)</t>
  </si>
  <si>
    <t>투명아크릴3T (직접입력형) 양면9도 / 단면7도 통용 단가</t>
  </si>
  <si>
    <t>아크릴모든 상품에 적용</t>
  </si>
  <si>
    <t>100mm</t>
  </si>
  <si>
    <t>120mm</t>
  </si>
  <si>
    <t>140mm</t>
  </si>
  <si>
    <t>160mm</t>
  </si>
  <si>
    <t>180mm</t>
  </si>
  <si>
    <t>200mm</t>
  </si>
  <si>
    <t>투명아크릴1.5T (직접입력형) 양면9도 / 단면7도 통용 단가</t>
  </si>
  <si>
    <t>미러아크릴3T (직접입력형) 전면5도 통용 단가</t>
  </si>
  <si>
    <t>아크릴상품 수량별 구간할인</t>
  </si>
  <si>
    <t>수량구간</t>
  </si>
  <si>
    <t>할인율</t>
  </si>
  <si>
    <t>1~49</t>
  </si>
  <si>
    <t>50~99</t>
  </si>
  <si>
    <t>100~299</t>
  </si>
  <si>
    <t>300~499</t>
  </si>
  <si>
    <t>500~999</t>
  </si>
  <si>
    <t>1000~10000</t>
  </si>
  <si>
    <t>아크릴상품 후가공 옵션 및 단가</t>
  </si>
  <si>
    <t>아크릴키링</t>
  </si>
  <si>
    <t>고리없음</t>
  </si>
  <si>
    <t>은색구슬줄(군번줄)</t>
  </si>
  <si>
    <t>은색고리</t>
  </si>
  <si>
    <t>금색고리</t>
  </si>
  <si>
    <t>아크릴뱃지</t>
  </si>
  <si>
    <t>원형핀(20mm)</t>
  </si>
  <si>
    <t>1구자석</t>
  </si>
  <si>
    <t>아크릴마그넷</t>
  </si>
  <si>
    <t>네오디움자석(12mm)</t>
  </si>
  <si>
    <t>아크릴집게</t>
  </si>
  <si>
    <t>투명집게</t>
  </si>
  <si>
    <t>아크릴명찰</t>
  </si>
  <si>
    <t>일자핀</t>
  </si>
  <si>
    <t>2구자석</t>
  </si>
  <si>
    <t>아크릴스마트톡</t>
  </si>
  <si>
    <t>화이트바디</t>
  </si>
  <si>
    <t>투명바디</t>
  </si>
  <si>
    <t>아크릴지비츠(슈츠참)</t>
  </si>
  <si>
    <t>투명</t>
  </si>
  <si>
    <t>스핀</t>
  </si>
  <si>
    <t>아크릴볼펜</t>
  </si>
  <si>
    <t>바디칼라</t>
  </si>
  <si>
    <t>블랙 / 오렌지 / 라이트그린 / 바이올렛 / 레드 / 네이비</t>
  </si>
  <si>
    <t>아크릴머리끈</t>
  </si>
  <si>
    <t>블랙머리끈</t>
  </si>
  <si>
    <t>아크릴카리비너(고리)</t>
  </si>
  <si>
    <t>실버</t>
  </si>
  <si>
    <t>골드</t>
  </si>
  <si>
    <t>블랙</t>
  </si>
  <si>
    <t>화이트</t>
  </si>
  <si>
    <t>레드</t>
  </si>
  <si>
    <t>핑크</t>
  </si>
  <si>
    <t>연노랑</t>
  </si>
  <si>
    <t>주황</t>
  </si>
  <si>
    <t>초록</t>
  </si>
  <si>
    <t>하늘</t>
  </si>
  <si>
    <t>아크릴코롯토</t>
  </si>
  <si>
    <t>아크릴카라비너 (투명아크릴 3T+3T 접합)</t>
  </si>
  <si>
    <t>아크릴카라비너 수량별 구간할인</t>
  </si>
  <si>
    <t>사각자물쇠 (자물쇠변형) 40x69</t>
  </si>
  <si>
    <t>하트자물쇠 (하트A) 43x71</t>
  </si>
  <si>
    <t>하트 (하트B) 59x54</t>
  </si>
  <si>
    <t>100~10000</t>
  </si>
  <si>
    <t>원형 (원형B) 68x70</t>
  </si>
  <si>
    <t>아트프린트포스터 (인화지)</t>
  </si>
  <si>
    <t>코팅포함가</t>
  </si>
  <si>
    <t>600mm</t>
  </si>
  <si>
    <t>800mm</t>
  </si>
  <si>
    <t>1000mm</t>
  </si>
  <si>
    <t>1200mm</t>
  </si>
  <si>
    <t>1000x1000 : 20000</t>
  </si>
  <si>
    <t>1400mm</t>
  </si>
  <si>
    <t>1600mm</t>
  </si>
  <si>
    <t>1800mm</t>
  </si>
  <si>
    <t>2000mm</t>
  </si>
  <si>
    <t>2200mm</t>
  </si>
  <si>
    <t>2400mm</t>
  </si>
  <si>
    <t>2600mm</t>
  </si>
  <si>
    <t>2800mm</t>
  </si>
  <si>
    <t>3000mm</t>
  </si>
  <si>
    <t>아트페이퍼포스터 (매트지)</t>
  </si>
  <si>
    <t>900mm</t>
  </si>
  <si>
    <t>방수포스터 (PET)</t>
  </si>
  <si>
    <t>접착방수포스터 (PVC)</t>
  </si>
  <si>
    <t>접착투명포스터 (투명PVC)</t>
  </si>
  <si>
    <t>1000x1000 : 55000</t>
  </si>
  <si>
    <t>아트패브릭포스터 (그래픽천)</t>
  </si>
  <si>
    <t>린넨패브릭포스터</t>
  </si>
  <si>
    <t>린넨패브릭포스터 가공</t>
  </si>
  <si>
    <t>사이즈무관 공용</t>
  </si>
  <si>
    <t>사이즈 / 가공옵션</t>
  </si>
  <si>
    <t>A3 / A2 / A1</t>
  </si>
  <si>
    <t>오버로크</t>
  </si>
  <si>
    <t>오버로크+리본끈</t>
  </si>
  <si>
    <t>1000x1000 : 30000</t>
  </si>
  <si>
    <t>말아박기</t>
  </si>
  <si>
    <t>말아박기+면끈</t>
  </si>
  <si>
    <t>봉미싱(7cm)</t>
  </si>
  <si>
    <t>캔버스패브릭포스터</t>
  </si>
  <si>
    <t>1000x1000 : 35000</t>
  </si>
  <si>
    <t>레더아트프린트</t>
  </si>
  <si>
    <t>타이벡프린트 (하드 / 소프트)</t>
  </si>
  <si>
    <t>메쉬프린트</t>
  </si>
  <si>
    <t>폼보드</t>
  </si>
  <si>
    <t>출력+코팅+가공 포함가</t>
  </si>
  <si>
    <t>사이즈 / 옵션명</t>
  </si>
  <si>
    <t>A1</t>
  </si>
  <si>
    <t>화이트보드</t>
  </si>
  <si>
    <t>블랙보드</t>
  </si>
  <si>
    <t>포맥스보드</t>
  </si>
  <si>
    <t>화이트포맥스(3mm)</t>
  </si>
  <si>
    <t>화이트포맥스(5mm)</t>
  </si>
  <si>
    <t>프레임리스우드액자</t>
  </si>
  <si>
    <t>사이즈 / 수량</t>
  </si>
  <si>
    <t>레더아트액자</t>
  </si>
  <si>
    <t>출력+가공 포함가</t>
  </si>
  <si>
    <t>5x5</t>
  </si>
  <si>
    <t>5x7</t>
  </si>
  <si>
    <t>8x8</t>
  </si>
  <si>
    <t>8x10</t>
  </si>
  <si>
    <t xml:space="preserve">족자포스터 </t>
  </si>
  <si>
    <t>출력+코팅+가공(사각족자/원형족자) 포함가</t>
  </si>
  <si>
    <t>족자포스터 추가옵션(천정형고리) 추가가격</t>
  </si>
  <si>
    <t>300*600</t>
  </si>
  <si>
    <t>900*1200</t>
  </si>
  <si>
    <t>추가옵션명</t>
  </si>
  <si>
    <t>*모든사이즈</t>
  </si>
  <si>
    <t>추가없음</t>
  </si>
  <si>
    <t>천정형고리 포함</t>
  </si>
  <si>
    <t>*2개 1세트</t>
  </si>
  <si>
    <t>캔버스행잉포스터</t>
  </si>
  <si>
    <t>출력+가공(오버로크) 포함가</t>
  </si>
  <si>
    <t>캔버스행잉포스터 추가옵션(우드행거+면끈) 추가가격</t>
  </si>
  <si>
    <t>사이즈 / 추가옵션</t>
  </si>
  <si>
    <t>출력만</t>
  </si>
  <si>
    <t>우드행거+면끈</t>
  </si>
  <si>
    <t>린넨우드봉족자</t>
  </si>
  <si>
    <t>출력+가공(봉미싱) 포함가</t>
  </si>
  <si>
    <t>린넨우드봉족자 추가옵션(우드봉+면끈) 추가가격</t>
  </si>
  <si>
    <t>우드봉+면끈</t>
  </si>
  <si>
    <t>PET배너</t>
  </si>
  <si>
    <t>출력+코팅+가공(4구아일렛) 포함가</t>
  </si>
  <si>
    <t>배너 추가옵션(거치대) 추가가격</t>
  </si>
  <si>
    <t>PET배너+메쉬배너 공용</t>
  </si>
  <si>
    <t>600x1800 mm</t>
  </si>
  <si>
    <t>거치대없음</t>
  </si>
  <si>
    <t>실내용배너거치대</t>
  </si>
  <si>
    <t>실외용배너거치대(단면용)</t>
  </si>
  <si>
    <t>실외용배너거치대(양면용)</t>
  </si>
  <si>
    <t>메쉬배너</t>
  </si>
  <si>
    <t>일반현수막</t>
  </si>
  <si>
    <t>일반현수막 가공옵션 추가가격</t>
  </si>
  <si>
    <t>x제작수량</t>
  </si>
  <si>
    <t>일반현수막 추가옵션 추가가격</t>
  </si>
  <si>
    <t>1500mm</t>
  </si>
  <si>
    <t>1750mm</t>
  </si>
  <si>
    <t>가공옵션명</t>
  </si>
  <si>
    <t>열재단</t>
  </si>
  <si>
    <t>1000x1000 : 8000</t>
  </si>
  <si>
    <t>타공(4개)</t>
  </si>
  <si>
    <t>큐방(4개) 추가</t>
  </si>
  <si>
    <t>타공(6개)</t>
  </si>
  <si>
    <t>끈(4개) 추가</t>
  </si>
  <si>
    <t>타공(8개)</t>
  </si>
  <si>
    <t>각목(900mm이하)+끈(4개) 추가</t>
  </si>
  <si>
    <t>양면테잎</t>
  </si>
  <si>
    <t>각목(900mm 초과)+끈(4개) 추가</t>
  </si>
  <si>
    <t>봉미싱</t>
  </si>
  <si>
    <t>3500mm</t>
  </si>
  <si>
    <t>4000mm</t>
  </si>
  <si>
    <t>4500mm</t>
  </si>
  <si>
    <t>5000mm</t>
  </si>
  <si>
    <t>메쉬현수막</t>
  </si>
  <si>
    <t>메쉬현수막 가공옵션 추가가격</t>
  </si>
  <si>
    <t>메쉬현수막 추가옵션 추가가격</t>
  </si>
  <si>
    <t>재단만</t>
  </si>
  <si>
    <t>시트커팅 (무광 / 홀로그램)</t>
  </si>
  <si>
    <t>사이즈 / 소재</t>
  </si>
  <si>
    <t>무광(화이트/블랙)</t>
  </si>
  <si>
    <t>홀로그램</t>
  </si>
  <si>
    <t>아크릴스티커 (유광 / 미러)</t>
  </si>
  <si>
    <t>290 x 90 mm</t>
  </si>
  <si>
    <t>290 x 190 mm</t>
  </si>
  <si>
    <t>390 x 290 mm</t>
  </si>
  <si>
    <t>590 x 390 mm</t>
  </si>
  <si>
    <t>유광 (화이트 / 블랙)</t>
  </si>
  <si>
    <t>미러 (골드/실버)</t>
  </si>
  <si>
    <t>미니스탠딩보드</t>
  </si>
  <si>
    <t>출력+코팅+가공(보드접착+거치대) 포함가</t>
  </si>
  <si>
    <t>미니배너</t>
  </si>
  <si>
    <t>출력+코팅+거치대 포함가</t>
  </si>
  <si>
    <t>150x300 mm</t>
  </si>
  <si>
    <t>180x420 mm</t>
  </si>
  <si>
    <t>파우치상품 수량별 구간할인</t>
  </si>
  <si>
    <t>파우치+에코백 전체</t>
  </si>
  <si>
    <t>100~499</t>
  </si>
  <si>
    <t>문구상품 수량별 구간할인</t>
  </si>
  <si>
    <t>굿즈상품 수량별 구간할인 A타입</t>
  </si>
  <si>
    <t>굿즈상품 수량별 구간할인 B타입</t>
  </si>
  <si>
    <t>핀버튼 / 틴거울 / 컴팩트거울 / 머그컵 / 카드거울 / 틴케이스 / 극세사클리너 / 반팔티셔츠/초슬림마우스패드</t>
  </si>
  <si>
    <t>1~99</t>
  </si>
  <si>
    <t>500~10000</t>
  </si>
  <si>
    <t xml:space="preserve">말랑상품 수량별 구간할인 </t>
  </si>
  <si>
    <t>말랑키링 / 말랑포카홀더 / 말랑네임택 / 말랑여권케이스</t>
  </si>
  <si>
    <t>2~9</t>
  </si>
  <si>
    <t>10~29</t>
  </si>
  <si>
    <t>30~49</t>
  </si>
  <si>
    <t>명함 동판비</t>
  </si>
  <si>
    <t>아연판 가공</t>
  </si>
  <si>
    <t>명함전용</t>
  </si>
  <si>
    <t>명함박(일반박-금유광, 은유광, 먹유광, 청박, 적박, 동박, 펄박)</t>
  </si>
  <si>
    <t>10x20</t>
  </si>
  <si>
    <t>10x40</t>
  </si>
  <si>
    <t>10x60</t>
  </si>
  <si>
    <t>10x80</t>
  </si>
  <si>
    <t>20x10</t>
  </si>
  <si>
    <t>20x20</t>
  </si>
  <si>
    <t>20x40</t>
  </si>
  <si>
    <t>20x60</t>
  </si>
  <si>
    <t>20x80</t>
  </si>
  <si>
    <t>40x10</t>
  </si>
  <si>
    <t>40x20</t>
  </si>
  <si>
    <t>40x40</t>
  </si>
  <si>
    <t>40x60</t>
  </si>
  <si>
    <t>명함박(특수박 -  백박, 홀로그램 전종)</t>
  </si>
  <si>
    <t>일반 동판비(아연판)</t>
  </si>
  <si>
    <t>기본 일반박/형압 (금유광, 금무광, 은유광, 은무광,동박,청박)</t>
  </si>
  <si>
    <t>30x30</t>
  </si>
  <si>
    <t>30x50</t>
  </si>
  <si>
    <t>30x70</t>
  </si>
  <si>
    <t>30x90</t>
  </si>
  <si>
    <t>30x110</t>
  </si>
  <si>
    <t>30x130</t>
  </si>
  <si>
    <t>30x150</t>
  </si>
  <si>
    <t>30x170</t>
  </si>
  <si>
    <t>50x30</t>
  </si>
  <si>
    <t>50x110</t>
  </si>
  <si>
    <t>50x130</t>
  </si>
  <si>
    <t>50x150</t>
  </si>
  <si>
    <t>50x170</t>
  </si>
  <si>
    <t>70x30</t>
  </si>
  <si>
    <t>70x70</t>
  </si>
  <si>
    <t>70x90</t>
  </si>
  <si>
    <t>70x110</t>
  </si>
  <si>
    <t>70x130</t>
  </si>
  <si>
    <t>70x150</t>
  </si>
  <si>
    <t>70x170</t>
  </si>
  <si>
    <t>90x30</t>
  </si>
  <si>
    <t>90x70</t>
  </si>
  <si>
    <t>90x90</t>
  </si>
  <si>
    <t>90x110</t>
  </si>
  <si>
    <t>90x130</t>
  </si>
  <si>
    <t>90x150</t>
  </si>
  <si>
    <t>90x170</t>
  </si>
  <si>
    <t>110x30</t>
  </si>
  <si>
    <t>110x50</t>
  </si>
  <si>
    <t>110x70</t>
  </si>
  <si>
    <t>110x90</t>
  </si>
  <si>
    <t>110x110</t>
  </si>
  <si>
    <t>110x130</t>
  </si>
  <si>
    <t>110x150</t>
  </si>
  <si>
    <t>130x30</t>
  </si>
  <si>
    <t>130x50</t>
  </si>
  <si>
    <t>130x70</t>
  </si>
  <si>
    <t>130x90</t>
  </si>
  <si>
    <t>130x110</t>
  </si>
  <si>
    <t>130x130</t>
  </si>
  <si>
    <t>130x150</t>
  </si>
  <si>
    <t>130x170</t>
  </si>
  <si>
    <t>150x30</t>
  </si>
  <si>
    <t>150x50</t>
  </si>
  <si>
    <t>150x70</t>
  </si>
  <si>
    <t>150x90</t>
  </si>
  <si>
    <t>150x110</t>
  </si>
  <si>
    <t>150x130</t>
  </si>
  <si>
    <t>150x150</t>
  </si>
  <si>
    <t>150x170</t>
  </si>
  <si>
    <t>170x30</t>
  </si>
  <si>
    <t>170x50</t>
  </si>
  <si>
    <t>170x70</t>
  </si>
  <si>
    <t>170x90</t>
  </si>
  <si>
    <t>170x110</t>
  </si>
  <si>
    <t>170x130</t>
  </si>
  <si>
    <t>170x150</t>
  </si>
  <si>
    <t>170x170</t>
  </si>
  <si>
    <t>기본 특수박/형압 (먹유광, 백박, 홀로그램(무지), 트윙클박, 적박, 녹박)</t>
  </si>
  <si>
    <t>오시(단가)</t>
  </si>
  <si>
    <t>미싱(단가)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</si>
</sst>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&quot;₩&quot;#,##0"/>
  </numFmts>
  <fonts count="3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color theme="1"/>
      <name val="Arial"/>
      <scheme val="minor"/>
    </font>
    <font>
      <sz val="9.0"/>
      <color rgb="FFFF9900"/>
      <name val="Arial"/>
    </font>
    <font>
      <color rgb="FF000000"/>
      <name val="Arial"/>
    </font>
    <font>
      <sz val="9.0"/>
      <color rgb="FF000000"/>
      <name val="Arial"/>
      <scheme val="minor"/>
    </font>
    <font>
      <color theme="1"/>
      <name val="Arial"/>
    </font>
    <font>
      <color rgb="FFFF0000"/>
      <name val="Arial"/>
    </font>
    <font>
      <b/>
      <sz val="9.0"/>
      <color rgb="FF000000"/>
      <name val="Arial"/>
      <scheme val="minor"/>
    </font>
    <font>
      <sz val="10.0"/>
      <color rgb="FF000000"/>
      <name val="Arial"/>
    </font>
    <font>
      <sz val="9.0"/>
      <color rgb="FFFF0000"/>
      <name val="Arial"/>
      <scheme val="minor"/>
    </font>
    <font>
      <b/>
      <sz val="9.0"/>
      <color rgb="FFFF0000"/>
      <name val="Arial"/>
      <scheme val="minor"/>
    </font>
    <font>
      <color rgb="FFFF9900"/>
      <name val="Arial"/>
      <scheme val="minor"/>
    </font>
    <font>
      <color rgb="FF38761D"/>
      <name val="Arial"/>
    </font>
    <font>
      <b/>
      <color rgb="FF34A853"/>
      <name val="Arial"/>
    </font>
    <font>
      <color theme="6"/>
      <name val="Arial"/>
      <scheme val="minor"/>
    </font>
    <font>
      <sz val="9.0"/>
      <color theme="1"/>
      <name val="Calibri"/>
    </font>
    <font>
      <sz val="11.0"/>
      <color rgb="FF000000"/>
      <name val="&quot;맑은 고딕&quot;"/>
    </font>
    <font>
      <sz val="11.0"/>
      <color rgb="FF000000"/>
      <name val="Arial"/>
    </font>
    <font>
      <sz val="9.0"/>
      <color rgb="FF000000"/>
      <name val="&quot;맑은 고딕&quot;"/>
    </font>
    <font>
      <b/>
      <sz val="9.0"/>
      <color theme="1"/>
      <name val="Arial"/>
    </font>
    <font>
      <b/>
      <sz val="9.0"/>
      <color rgb="FF000000"/>
      <name val="Arial"/>
    </font>
    <font>
      <sz val="10.0"/>
      <color theme="1"/>
      <name val="Arial"/>
    </font>
    <font>
      <b/>
      <sz val="9.0"/>
      <color rgb="FFFF9900"/>
      <name val="Arial"/>
      <scheme val="minor"/>
    </font>
    <font>
      <sz val="9.0"/>
      <color rgb="FF999999"/>
      <name val="Arial"/>
      <scheme val="minor"/>
    </font>
    <font>
      <b/>
      <sz val="9.0"/>
      <color rgb="FFFF9900"/>
      <name val="Arial"/>
    </font>
    <font>
      <sz val="9.0"/>
      <color rgb="FF134F5C"/>
      <name val="Arial"/>
    </font>
    <font>
      <b/>
      <sz val="9.0"/>
      <color rgb="FFFF0000"/>
      <name val="Arial"/>
    </font>
    <font>
      <b/>
      <sz val="9.0"/>
      <color rgb="FFFFA318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EF1CC"/>
        <bgColor rgb="FFFEF1CC"/>
      </patternFill>
    </fill>
    <fill>
      <patternFill patternType="solid">
        <fgColor rgb="FFD9E7FD"/>
        <bgColor rgb="FFD9E7FD"/>
      </patternFill>
    </fill>
    <fill>
      <patternFill patternType="solid">
        <fgColor rgb="FFD3F1DB"/>
        <bgColor rgb="FFD3F1DB"/>
      </patternFill>
    </fill>
    <fill>
      <patternFill patternType="solid">
        <fgColor rgb="FFFBD8D5"/>
        <bgColor rgb="FFFBD8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2" fontId="3" numFmtId="0" xfId="0" applyAlignment="1" applyFill="1" applyFont="1">
      <alignment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vertical="center"/>
    </xf>
    <xf borderId="0" fillId="2" fontId="2" numFmtId="0" xfId="0" applyFont="1"/>
    <xf borderId="0" fillId="0" fontId="3" numFmtId="0" xfId="0" applyAlignment="1" applyFon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right" readingOrder="0" vertical="center"/>
    </xf>
    <xf borderId="0" fillId="2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right" readingOrder="0" vertical="center"/>
    </xf>
    <xf borderId="0" fillId="3" fontId="4" numFmtId="0" xfId="0" applyAlignment="1" applyFill="1" applyFont="1">
      <alignment readingOrder="0" vertic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0" fillId="2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4" fontId="3" numFmtId="0" xfId="0" applyAlignment="1" applyFill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0" fillId="2" fontId="4" numFmtId="0" xfId="0" applyAlignment="1" applyFont="1">
      <alignment vertical="center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readingOrder="0" vertical="center"/>
    </xf>
    <xf borderId="0" fillId="0" fontId="3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6" numFmtId="3" xfId="0" applyFont="1" applyNumberFormat="1"/>
    <xf borderId="0" fillId="0" fontId="6" numFmtId="164" xfId="0" applyFont="1" applyNumberFormat="1"/>
    <xf borderId="0" fillId="0" fontId="6" numFmtId="1" xfId="0" applyFont="1" applyNumberFormat="1"/>
    <xf borderId="0" fillId="0" fontId="6" numFmtId="0" xfId="0" applyAlignment="1" applyFont="1">
      <alignment shrinkToFit="0" wrapText="1"/>
    </xf>
    <xf borderId="0" fillId="5" fontId="1" numFmtId="0" xfId="0" applyAlignment="1" applyFont="1">
      <alignment horizontal="center" readingOrder="0" vertical="center"/>
    </xf>
    <xf borderId="0" fillId="0" fontId="3" numFmtId="0" xfId="0" applyFont="1"/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right" vertical="center"/>
    </xf>
    <xf borderId="0" fillId="2" fontId="3" numFmtId="0" xfId="0" applyAlignment="1" applyFont="1">
      <alignment horizontal="right"/>
    </xf>
    <xf borderId="0" fillId="2" fontId="2" numFmtId="0" xfId="0" applyAlignment="1" applyFont="1">
      <alignment horizontal="right" vertical="center"/>
    </xf>
    <xf borderId="0" fillId="2" fontId="3" numFmtId="0" xfId="0" applyAlignment="1" applyFont="1">
      <alignment horizontal="center"/>
    </xf>
    <xf borderId="0" fillId="2" fontId="7" numFmtId="0" xfId="0" applyFont="1"/>
    <xf borderId="0" fillId="2" fontId="3" numFmtId="0" xfId="0" applyFont="1"/>
    <xf borderId="0" fillId="0" fontId="2" numFmtId="0" xfId="0" applyAlignment="1" applyFont="1">
      <alignment horizontal="right" vertical="center"/>
    </xf>
    <xf borderId="0" fillId="2" fontId="4" numFmtId="0" xfId="0" applyAlignment="1" applyFont="1">
      <alignment horizontal="right" shrinkToFit="0" vertical="bottom" wrapText="0"/>
    </xf>
    <xf borderId="0" fillId="2" fontId="8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shrinkToFit="0" vertical="center" wrapText="0"/>
    </xf>
    <xf borderId="0" fillId="0" fontId="10" numFmtId="0" xfId="0" applyFont="1"/>
    <xf borderId="0" fillId="2" fontId="10" numFmtId="0" xfId="0" applyAlignment="1" applyFont="1">
      <alignment horizontal="center"/>
    </xf>
    <xf borderId="0" fillId="2" fontId="11" numFmtId="0" xfId="0" applyFont="1"/>
    <xf borderId="0" fillId="2" fontId="6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right" vertical="center"/>
    </xf>
    <xf borderId="0" fillId="0" fontId="9" numFmtId="1" xfId="0" applyAlignment="1" applyFont="1" applyNumberFormat="1">
      <alignment horizontal="right" vertical="center"/>
    </xf>
    <xf borderId="0" fillId="2" fontId="10" numFmtId="0" xfId="0" applyFont="1"/>
    <xf borderId="0" fillId="2" fontId="8" numFmtId="0" xfId="0" applyAlignment="1" applyFont="1">
      <alignment horizontal="right" shrinkToFit="0" vertical="top" wrapText="0"/>
    </xf>
    <xf borderId="0" fillId="2" fontId="13" numFmtId="0" xfId="0" applyAlignment="1" applyFont="1">
      <alignment vertical="top"/>
    </xf>
    <xf borderId="0" fillId="0" fontId="9" numFmtId="0" xfId="0" applyAlignment="1" applyFont="1">
      <alignment horizontal="right" readingOrder="0" vertical="center"/>
    </xf>
    <xf borderId="0" fillId="2" fontId="2" numFmtId="0" xfId="0" applyAlignment="1" applyFont="1">
      <alignment horizontal="center" vertical="center"/>
    </xf>
    <xf borderId="0" fillId="6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right" vertical="center"/>
    </xf>
    <xf borderId="0" fillId="0" fontId="14" numFmtId="0" xfId="0" applyAlignment="1" applyFont="1">
      <alignment horizontal="right" vertical="center"/>
    </xf>
    <xf borderId="0" fillId="2" fontId="10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10" numFmtId="0" xfId="0" applyAlignment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0" fontId="16" numFmtId="0" xfId="0" applyAlignment="1" applyFont="1">
      <alignment readingOrder="0"/>
    </xf>
    <xf borderId="0" fillId="2" fontId="14" numFmtId="0" xfId="0" applyAlignment="1" applyFont="1">
      <alignment horizontal="center" readingOrder="0" vertical="center"/>
    </xf>
    <xf borderId="0" fillId="2" fontId="14" numFmtId="0" xfId="0" applyAlignment="1" applyFont="1">
      <alignment horizontal="right" readingOrder="0" vertical="center"/>
    </xf>
    <xf borderId="0" fillId="2" fontId="10" numFmtId="0" xfId="0" applyAlignment="1" applyFont="1">
      <alignment horizontal="left" readingOrder="0"/>
    </xf>
    <xf borderId="0" fillId="0" fontId="9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right" shrinkToFit="0" vertical="center" wrapText="0"/>
    </xf>
    <xf borderId="0" fillId="4" fontId="9" numFmtId="3" xfId="0" applyAlignment="1" applyFont="1" applyNumberFormat="1">
      <alignment horizontal="right" shrinkToFit="0" vertical="center" wrapText="0"/>
    </xf>
    <xf borderId="0" fillId="0" fontId="17" numFmtId="0" xfId="0" applyFont="1"/>
    <xf borderId="0" fillId="2" fontId="9" numFmtId="0" xfId="0" applyAlignment="1" applyFont="1">
      <alignment horizontal="right" readingOrder="0" shrinkToFit="0" vertical="center" wrapText="0"/>
    </xf>
    <xf borderId="0" fillId="2" fontId="9" numFmtId="3" xfId="0" applyAlignment="1" applyFont="1" applyNumberFormat="1">
      <alignment horizontal="right" shrinkToFit="0" vertical="center" wrapText="0"/>
    </xf>
    <xf borderId="0" fillId="4" fontId="9" numFmtId="0" xfId="0" applyAlignment="1" applyFont="1">
      <alignment horizontal="right" vertical="center"/>
    </xf>
    <xf borderId="0" fillId="0" fontId="18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0"/>
    </xf>
    <xf borderId="0" fillId="0" fontId="11" numFmtId="0" xfId="0" applyFont="1"/>
    <xf borderId="0" fillId="0" fontId="6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6" numFmtId="0" xfId="0" applyAlignment="1" applyFont="1">
      <alignment readingOrder="0" vertical="center"/>
    </xf>
    <xf borderId="0" fillId="0" fontId="8" numFmtId="0" xfId="0" applyAlignment="1" applyFont="1">
      <alignment horizontal="right" shrinkToFit="0" vertical="bottom" wrapText="0"/>
    </xf>
    <xf borderId="0" fillId="2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4" numFmtId="0" xfId="0" applyAlignment="1" applyFont="1">
      <alignment horizontal="right" vertical="center"/>
    </xf>
    <xf borderId="0" fillId="0" fontId="20" numFmtId="0" xfId="0" applyFont="1"/>
    <xf borderId="0" fillId="0" fontId="4" numFmtId="0" xfId="0" applyAlignment="1" applyFont="1">
      <alignment horizontal="right" shrinkToFit="0" vertical="center" wrapText="0"/>
    </xf>
    <xf borderId="0" fillId="0" fontId="10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5" numFmtId="0" xfId="0" applyAlignment="1" applyFont="1">
      <alignment horizontal="right" readingOrder="0" vertical="center"/>
    </xf>
    <xf borderId="0" fillId="2" fontId="4" numFmtId="3" xfId="0" applyAlignment="1" applyFont="1" applyNumberFormat="1">
      <alignment readingOrder="0" shrinkToFit="0" vertical="center" wrapText="0"/>
    </xf>
    <xf borderId="0" fillId="2" fontId="4" numFmtId="3" xfId="0" applyAlignment="1" applyFont="1" applyNumberFormat="1">
      <alignment shrinkToFit="0" vertical="center" wrapText="0"/>
    </xf>
    <xf borderId="0" fillId="0" fontId="21" numFmtId="0" xfId="0" applyAlignment="1" applyFont="1">
      <alignment readingOrder="0" shrinkToFit="0" wrapText="0"/>
    </xf>
    <xf borderId="0" fillId="0" fontId="21" numFmtId="0" xfId="0" applyAlignment="1" applyFont="1">
      <alignment shrinkToFit="0" wrapText="0"/>
    </xf>
    <xf borderId="0" fillId="0" fontId="22" numFmtId="0" xfId="0" applyAlignment="1" applyFont="1">
      <alignment shrinkToFit="0" vertical="center" wrapText="0"/>
    </xf>
    <xf borderId="0" fillId="0" fontId="23" numFmtId="0" xfId="0" applyAlignment="1" applyFont="1">
      <alignment horizontal="right" shrinkToFit="0" wrapText="0"/>
    </xf>
    <xf borderId="0" fillId="0" fontId="23" numFmtId="0" xfId="0" applyAlignment="1" applyFont="1">
      <alignment shrinkToFit="0" wrapText="0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shrinkToFit="0" vertical="center" wrapText="0"/>
    </xf>
    <xf borderId="0" fillId="4" fontId="3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25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1" fillId="7" fontId="9" numFmtId="3" xfId="0" applyAlignment="1" applyBorder="1" applyFont="1" applyNumberFormat="1">
      <alignment shrinkToFit="0" vertical="center" wrapText="0"/>
    </xf>
    <xf borderId="2" fillId="8" fontId="9" numFmtId="3" xfId="0" applyAlignment="1" applyBorder="1" applyFont="1" applyNumberFormat="1">
      <alignment shrinkToFit="0" vertical="center" wrapText="0"/>
    </xf>
    <xf borderId="2" fillId="9" fontId="9" numFmtId="3" xfId="0" applyAlignment="1" applyBorder="1" applyFont="1" applyNumberFormat="1">
      <alignment shrinkToFit="0" vertical="center" wrapText="0"/>
    </xf>
    <xf borderId="2" fillId="10" fontId="9" numFmtId="3" xfId="0" applyAlignment="1" applyBorder="1" applyFill="1" applyFont="1" applyNumberFormat="1">
      <alignment shrinkToFit="0" vertical="center" wrapText="0"/>
    </xf>
    <xf borderId="2" fillId="11" fontId="9" numFmtId="3" xfId="0" applyAlignment="1" applyBorder="1" applyFill="1" applyFont="1" applyNumberFormat="1">
      <alignment shrinkToFit="0" vertical="center" wrapText="0"/>
    </xf>
    <xf borderId="0" fillId="0" fontId="2" numFmtId="0" xfId="0" applyAlignment="1" applyFont="1">
      <alignment horizontal="center"/>
    </xf>
    <xf borderId="0" fillId="10" fontId="2" numFmtId="0" xfId="0" applyAlignment="1" applyFont="1">
      <alignment horizontal="center" readingOrder="0" vertical="center"/>
    </xf>
    <xf borderId="3" fillId="7" fontId="9" numFmtId="3" xfId="0" applyAlignment="1" applyBorder="1" applyFont="1" applyNumberFormat="1">
      <alignment shrinkToFit="0" vertical="center" wrapText="0"/>
    </xf>
    <xf borderId="4" fillId="8" fontId="9" numFmtId="3" xfId="0" applyAlignment="1" applyBorder="1" applyFont="1" applyNumberFormat="1">
      <alignment shrinkToFit="0" vertical="center" wrapText="0"/>
    </xf>
    <xf borderId="4" fillId="9" fontId="9" numFmtId="3" xfId="0" applyAlignment="1" applyBorder="1" applyFont="1" applyNumberFormat="1">
      <alignment shrinkToFit="0" vertical="center" wrapText="0"/>
    </xf>
    <xf borderId="4" fillId="10" fontId="9" numFmtId="3" xfId="0" applyAlignment="1" applyBorder="1" applyFont="1" applyNumberFormat="1">
      <alignment shrinkToFit="0" vertical="center" wrapText="0"/>
    </xf>
    <xf borderId="4" fillId="11" fontId="9" numFmtId="3" xfId="0" applyAlignment="1" applyBorder="1" applyFont="1" applyNumberFormat="1">
      <alignment shrinkToFit="0" vertical="center" wrapText="0"/>
    </xf>
    <xf borderId="0" fillId="11" fontId="2" numFmtId="0" xfId="0" applyAlignment="1" applyFont="1">
      <alignment horizontal="center" readingOrder="0" vertical="center"/>
    </xf>
    <xf borderId="0" fillId="4" fontId="2" numFmtId="0" xfId="0" applyAlignment="1" applyFont="1">
      <alignment vertical="center"/>
    </xf>
    <xf borderId="3" fillId="7" fontId="9" numFmtId="3" xfId="0" applyAlignment="1" applyBorder="1" applyFont="1" applyNumberFormat="1">
      <alignment readingOrder="0" shrinkToFit="0" vertical="center" wrapText="0"/>
    </xf>
    <xf borderId="4" fillId="8" fontId="9" numFmtId="3" xfId="0" applyAlignment="1" applyBorder="1" applyFont="1" applyNumberFormat="1">
      <alignment readingOrder="0" shrinkToFit="0" vertical="center" wrapText="0"/>
    </xf>
    <xf borderId="4" fillId="9" fontId="9" numFmtId="3" xfId="0" applyAlignment="1" applyBorder="1" applyFont="1" applyNumberFormat="1">
      <alignment readingOrder="0" shrinkToFit="0" vertical="center" wrapText="0"/>
    </xf>
    <xf borderId="4" fillId="10" fontId="9" numFmtId="3" xfId="0" applyAlignment="1" applyBorder="1" applyFont="1" applyNumberFormat="1">
      <alignment readingOrder="0" shrinkToFit="0" vertical="center" wrapText="0"/>
    </xf>
    <xf borderId="4" fillId="11" fontId="9" numFmtId="3" xfId="0" applyAlignment="1" applyBorder="1" applyFont="1" applyNumberFormat="1">
      <alignment readingOrder="0" shrinkToFit="0" vertical="center" wrapText="0"/>
    </xf>
    <xf borderId="0" fillId="2" fontId="9" numFmtId="0" xfId="0" applyAlignment="1" applyFont="1">
      <alignment horizontal="left" vertical="center"/>
    </xf>
    <xf borderId="0" fillId="2" fontId="9" numFmtId="0" xfId="0" applyAlignment="1" applyFont="1">
      <alignment horizontal="right" readingOrder="0" vertical="center"/>
    </xf>
    <xf borderId="0" fillId="2" fontId="4" numFmtId="0" xfId="0" applyAlignment="1" applyFont="1">
      <alignment horizontal="left" vertical="bottom"/>
    </xf>
    <xf borderId="1" fillId="7" fontId="4" numFmtId="3" xfId="0" applyAlignment="1" applyBorder="1" applyFont="1" applyNumberFormat="1">
      <alignment shrinkToFit="0" vertical="center" wrapText="0"/>
    </xf>
    <xf borderId="2" fillId="8" fontId="4" numFmtId="3" xfId="0" applyAlignment="1" applyBorder="1" applyFont="1" applyNumberFormat="1">
      <alignment shrinkToFit="0" vertical="center" wrapText="0"/>
    </xf>
    <xf borderId="2" fillId="9" fontId="4" numFmtId="3" xfId="0" applyAlignment="1" applyBorder="1" applyFont="1" applyNumberFormat="1">
      <alignment shrinkToFit="0" vertical="center" wrapText="0"/>
    </xf>
    <xf borderId="2" fillId="10" fontId="4" numFmtId="3" xfId="0" applyAlignment="1" applyBorder="1" applyFont="1" applyNumberFormat="1">
      <alignment shrinkToFit="0" vertical="center" wrapText="0"/>
    </xf>
    <xf borderId="2" fillId="11" fontId="4" numFmtId="3" xfId="0" applyAlignment="1" applyBorder="1" applyFont="1" applyNumberFormat="1">
      <alignment shrinkToFit="0" vertical="center" wrapText="0"/>
    </xf>
    <xf borderId="3" fillId="7" fontId="4" numFmtId="3" xfId="0" applyAlignment="1" applyBorder="1" applyFont="1" applyNumberFormat="1">
      <alignment shrinkToFit="0" vertical="center" wrapText="0"/>
    </xf>
    <xf borderId="4" fillId="8" fontId="4" numFmtId="3" xfId="0" applyAlignment="1" applyBorder="1" applyFont="1" applyNumberFormat="1">
      <alignment shrinkToFit="0" vertical="center" wrapText="0"/>
    </xf>
    <xf borderId="4" fillId="9" fontId="4" numFmtId="3" xfId="0" applyAlignment="1" applyBorder="1" applyFont="1" applyNumberFormat="1">
      <alignment shrinkToFit="0" vertical="center" wrapText="0"/>
    </xf>
    <xf borderId="4" fillId="10" fontId="4" numFmtId="3" xfId="0" applyAlignment="1" applyBorder="1" applyFont="1" applyNumberFormat="1">
      <alignment shrinkToFit="0" vertical="center" wrapText="0"/>
    </xf>
    <xf borderId="4" fillId="11" fontId="4" numFmtId="3" xfId="0" applyAlignment="1" applyBorder="1" applyFont="1" applyNumberFormat="1">
      <alignment shrinkToFit="0" vertical="center" wrapText="0"/>
    </xf>
    <xf borderId="0" fillId="0" fontId="10" numFmtId="165" xfId="0" applyFont="1" applyNumberFormat="1"/>
    <xf borderId="0" fillId="2" fontId="9" numFmtId="0" xfId="0" applyAlignment="1" applyFont="1">
      <alignment horizontal="right" vertical="center"/>
    </xf>
    <xf borderId="0" fillId="0" fontId="10" numFmtId="0" xfId="0" applyAlignment="1" applyFont="1">
      <alignment horizontal="center"/>
    </xf>
    <xf borderId="0" fillId="0" fontId="26" numFmtId="0" xfId="0" applyFont="1"/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2" fontId="27" numFmtId="0" xfId="0" applyAlignment="1" applyFont="1">
      <alignment horizontal="center" readingOrder="0" vertical="center"/>
    </xf>
    <xf borderId="0" fillId="0" fontId="26" numFmtId="0" xfId="0" applyAlignment="1" applyFont="1">
      <alignment horizontal="center"/>
    </xf>
    <xf borderId="0" fillId="0" fontId="26" numFmtId="0" xfId="0" applyAlignment="1" applyFont="1">
      <alignment readingOrder="0"/>
    </xf>
    <xf borderId="0" fillId="5" fontId="9" numFmtId="0" xfId="0" applyAlignment="1" applyFont="1">
      <alignment horizontal="center" shrinkToFit="0" vertical="center" wrapText="0"/>
    </xf>
    <xf borderId="0" fillId="2" fontId="9" numFmtId="0" xfId="0" applyAlignment="1" applyFont="1">
      <alignment shrinkToFit="0" vertical="center" wrapText="0"/>
    </xf>
    <xf borderId="0" fillId="5" fontId="24" numFmtId="0" xfId="0" applyAlignment="1" applyFon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2" fontId="4" numFmtId="0" xfId="0" applyAlignment="1" applyFont="1">
      <alignment horizontal="right" vertical="center"/>
    </xf>
    <xf borderId="0" fillId="2" fontId="4" numFmtId="0" xfId="0" applyAlignment="1" applyFont="1">
      <alignment horizontal="right" shrinkToFit="0" vertical="center" wrapText="0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left" vertical="center"/>
    </xf>
    <xf borderId="0" fillId="7" fontId="4" numFmtId="0" xfId="0" applyAlignment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0" fillId="7" fontId="4" numFmtId="3" xfId="0" applyAlignment="1" applyFont="1" applyNumberFormat="1">
      <alignment horizontal="right" readingOrder="0" vertical="center"/>
    </xf>
    <xf borderId="0" fillId="8" fontId="4" numFmtId="3" xfId="0" applyAlignment="1" applyFont="1" applyNumberFormat="1">
      <alignment horizontal="right" readingOrder="0" vertical="center"/>
    </xf>
    <xf borderId="0" fillId="9" fontId="4" numFmtId="3" xfId="0" applyAlignment="1" applyFont="1" applyNumberFormat="1">
      <alignment horizontal="right" readingOrder="0" vertical="center"/>
    </xf>
    <xf borderId="0" fillId="10" fontId="4" numFmtId="3" xfId="0" applyAlignment="1" applyFont="1" applyNumberFormat="1">
      <alignment horizontal="right" readingOrder="0" vertical="center"/>
    </xf>
    <xf borderId="0" fillId="11" fontId="4" numFmtId="3" xfId="0" applyAlignment="1" applyFont="1" applyNumberFormat="1">
      <alignment horizontal="right" readingOrder="0" vertical="center"/>
    </xf>
    <xf borderId="0" fillId="10" fontId="4" numFmtId="0" xfId="0" applyAlignment="1" applyFont="1">
      <alignment horizontal="center" readingOrder="0" vertical="center"/>
    </xf>
    <xf borderId="0" fillId="9" fontId="4" numFmtId="0" xfId="0" applyAlignment="1" applyFont="1">
      <alignment horizontal="center" readingOrder="0" vertical="center"/>
    </xf>
    <xf borderId="0" fillId="7" fontId="9" numFmtId="3" xfId="0" applyAlignment="1" applyFont="1" applyNumberFormat="1">
      <alignment shrinkToFit="0" vertical="center" wrapText="0"/>
    </xf>
    <xf borderId="0" fillId="8" fontId="9" numFmtId="3" xfId="0" applyAlignment="1" applyFont="1" applyNumberFormat="1">
      <alignment shrinkToFit="0" vertical="center" wrapText="0"/>
    </xf>
    <xf borderId="0" fillId="9" fontId="9" numFmtId="3" xfId="0" applyAlignment="1" applyFont="1" applyNumberFormat="1">
      <alignment shrinkToFit="0" vertical="center" wrapText="0"/>
    </xf>
    <xf borderId="0" fillId="10" fontId="9" numFmtId="3" xfId="0" applyAlignment="1" applyFont="1" applyNumberFormat="1">
      <alignment shrinkToFit="0" vertical="center" wrapText="0"/>
    </xf>
    <xf borderId="0" fillId="11" fontId="9" numFmtId="3" xfId="0" applyAlignment="1" applyFont="1" applyNumberFormat="1">
      <alignment shrinkToFit="0" vertical="center" wrapText="0"/>
    </xf>
    <xf borderId="0" fillId="11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0" fillId="4" fontId="4" numFmtId="0" xfId="0" applyAlignment="1" applyFont="1">
      <alignment shrinkToFit="0" vertical="center" wrapText="0"/>
    </xf>
    <xf borderId="0" fillId="4" fontId="3" numFmtId="0" xfId="0" applyAlignment="1" applyFont="1">
      <alignment vertical="center"/>
    </xf>
    <xf borderId="0" fillId="4" fontId="4" numFmtId="0" xfId="0" applyAlignment="1" applyFont="1">
      <alignment horizontal="right" shrinkToFit="0" vertical="center" wrapText="0"/>
    </xf>
    <xf borderId="0" fillId="4" fontId="4" numFmtId="0" xfId="0" applyAlignment="1" applyFont="1">
      <alignment horizontal="left" vertical="center"/>
    </xf>
    <xf borderId="0" fillId="4" fontId="4" numFmtId="0" xfId="0" applyAlignment="1" applyFont="1">
      <alignment horizontal="center" vertical="center"/>
    </xf>
    <xf borderId="0" fillId="4" fontId="4" numFmtId="3" xfId="0" applyAlignment="1" applyFont="1" applyNumberFormat="1">
      <alignment shrinkToFit="0" vertical="center" wrapText="0"/>
    </xf>
    <xf borderId="0" fillId="4" fontId="4" numFmtId="3" xfId="0" applyAlignment="1" applyFont="1" applyNumberFormat="1">
      <alignment vertical="center"/>
    </xf>
    <xf borderId="0" fillId="4" fontId="4" numFmtId="3" xfId="0" applyAlignment="1" applyFont="1" applyNumberFormat="1">
      <alignment horizontal="right" vertical="center"/>
    </xf>
    <xf borderId="0" fillId="4" fontId="25" numFmtId="0" xfId="0" applyAlignment="1" applyFont="1">
      <alignment shrinkToFit="0" vertical="center" wrapText="0"/>
    </xf>
    <xf borderId="0" fillId="4" fontId="25" numFmtId="0" xfId="0" applyAlignment="1" applyFont="1">
      <alignment horizontal="center" shrinkToFit="0" vertical="center" wrapText="0"/>
    </xf>
    <xf borderId="0" fillId="4" fontId="25" numFmtId="0" xfId="0" applyAlignment="1" applyFont="1">
      <alignment horizontal="center" vertical="center"/>
    </xf>
    <xf borderId="0" fillId="4" fontId="25" numFmtId="0" xfId="0" applyAlignment="1" applyFont="1">
      <alignment horizontal="left" vertical="center"/>
    </xf>
    <xf borderId="0" fillId="4" fontId="4" numFmtId="0" xfId="0" applyAlignment="1" applyFont="1">
      <alignment horizontal="center" shrinkToFit="0" vertical="center" wrapText="0"/>
    </xf>
    <xf borderId="0" fillId="4" fontId="4" numFmtId="3" xfId="0" applyAlignment="1" applyFont="1" applyNumberFormat="1">
      <alignment horizontal="center" shrinkToFit="0" vertical="center" wrapText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 vertical="center"/>
    </xf>
    <xf borderId="0" fillId="0" fontId="2" numFmtId="9" xfId="0" applyAlignment="1" applyFont="1" applyNumberFormat="1">
      <alignment readingOrder="0" vertical="center"/>
    </xf>
    <xf borderId="0" fillId="0" fontId="6" numFmtId="0" xfId="0" applyAlignment="1" applyFont="1">
      <alignment vertical="center"/>
    </xf>
    <xf borderId="0" fillId="5" fontId="25" numFmtId="0" xfId="0" applyAlignment="1" applyFont="1">
      <alignment horizontal="center" readingOrder="0" shrinkToFit="0" vertical="center" wrapText="0"/>
    </xf>
    <xf borderId="0" fillId="0" fontId="20" numFmtId="0" xfId="0" applyFont="1"/>
    <xf borderId="0" fillId="0" fontId="5" numFmtId="0" xfId="0" applyAlignment="1" applyFont="1">
      <alignment readingOrder="0" vertical="center"/>
    </xf>
    <xf borderId="0" fillId="2" fontId="28" numFmtId="0" xfId="0" applyAlignment="1" applyFont="1">
      <alignment horizontal="right" shrinkToFit="0" vertical="center" wrapText="0"/>
    </xf>
    <xf borderId="0" fillId="2" fontId="6" numFmtId="0" xfId="0" applyAlignment="1" applyFont="1">
      <alignment vertical="center"/>
    </xf>
    <xf borderId="0" fillId="4" fontId="2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0" fontId="29" numFmtId="0" xfId="0" applyAlignment="1" applyFont="1">
      <alignment readingOrder="0"/>
    </xf>
    <xf borderId="0" fillId="0" fontId="30" numFmtId="0" xfId="0" applyFont="1"/>
    <xf borderId="0" fillId="12" fontId="9" numFmtId="3" xfId="0" applyAlignment="1" applyFill="1" applyFont="1" applyNumberFormat="1">
      <alignment horizontal="right" shrinkToFit="0" vertical="center" wrapText="0"/>
    </xf>
    <xf borderId="0" fillId="0" fontId="9" numFmtId="3" xfId="0" applyAlignment="1" applyFont="1" applyNumberFormat="1">
      <alignment horizontal="right" shrinkToFit="0" vertical="center" wrapText="0"/>
    </xf>
    <xf borderId="0" fillId="0" fontId="7" numFmtId="0" xfId="0" applyAlignment="1" applyFont="1">
      <alignment readingOrder="0" vertical="center"/>
    </xf>
    <xf borderId="0" fillId="0" fontId="4" numFmtId="3" xfId="0" applyAlignment="1" applyFont="1" applyNumberFormat="1">
      <alignment horizontal="right" shrinkToFit="0" vertical="center" wrapText="0"/>
    </xf>
    <xf borderId="0" fillId="12" fontId="4" numFmtId="3" xfId="0" applyAlignment="1" applyFont="1" applyNumberFormat="1">
      <alignment horizontal="right" shrinkToFit="0" vertical="center" wrapText="0"/>
    </xf>
    <xf borderId="0" fillId="2" fontId="4" numFmtId="3" xfId="0" applyAlignment="1" applyFont="1" applyNumberFormat="1">
      <alignment horizontal="right" shrinkToFit="0" vertical="center" wrapText="0"/>
    </xf>
    <xf borderId="0" fillId="0" fontId="31" numFmtId="0" xfId="0" applyAlignment="1" applyFont="1">
      <alignment readingOrder="0" vertical="center"/>
    </xf>
    <xf borderId="0" fillId="5" fontId="25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0" fontId="4" numFmtId="3" xfId="0" applyAlignment="1" applyFont="1" applyNumberFormat="1">
      <alignment readingOrder="0" shrinkToFit="0" vertical="center" wrapText="0"/>
    </xf>
    <xf borderId="0" fillId="4" fontId="4" numFmtId="3" xfId="0" applyAlignment="1" applyFont="1" applyNumberFormat="1">
      <alignment readingOrder="0" shrinkToFit="0" vertical="center" wrapText="0"/>
    </xf>
    <xf borderId="0" fillId="5" fontId="24" numFmtId="0" xfId="0" applyAlignment="1" applyFont="1">
      <alignment readingOrder="0" vertical="center"/>
    </xf>
    <xf borderId="0" fillId="0" fontId="32" numFmtId="0" xfId="0" applyAlignment="1" applyFont="1">
      <alignment readingOrder="0" vertical="center"/>
    </xf>
    <xf borderId="0" fillId="5" fontId="25" numFmtId="0" xfId="0" applyAlignment="1" applyFont="1">
      <alignment horizontal="center" vertical="center"/>
    </xf>
    <xf borderId="0" fillId="2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2" fontId="4" numFmtId="3" xfId="0" applyAlignment="1" applyFont="1" applyNumberFormat="1">
      <alignment horizontal="right" readingOrder="0" shrinkToFit="0" vertical="center" wrapText="0"/>
    </xf>
    <xf borderId="0" fillId="0" fontId="3" numFmtId="3" xfId="0" applyAlignment="1" applyFont="1" applyNumberFormat="1">
      <alignment readingOrder="0" vertical="center"/>
    </xf>
    <xf borderId="0" fillId="12" fontId="4" numFmtId="3" xfId="0" applyAlignment="1" applyFont="1" applyNumberFormat="1">
      <alignment horizontal="right" readingOrder="0" shrinkToFit="0" vertical="center" wrapText="0"/>
    </xf>
    <xf borderId="0" fillId="0" fontId="4" numFmtId="3" xfId="0" applyAlignment="1" applyFont="1" applyNumberFormat="1">
      <alignment horizontal="right" readingOrder="0" shrinkToFit="0" vertical="center" wrapText="0"/>
    </xf>
    <xf borderId="0" fillId="2" fontId="11" numFmtId="0" xfId="0" applyAlignment="1" applyFont="1">
      <alignment shrinkToFit="0" vertical="bottom" wrapText="0"/>
    </xf>
    <xf borderId="0" fillId="2" fontId="4" numFmtId="3" xfId="0" applyAlignment="1" applyFont="1" applyNumberFormat="1">
      <alignment horizontal="right" shrinkToFit="0" vertical="bottom" wrapText="0"/>
    </xf>
    <xf borderId="0" fillId="2" fontId="8" numFmtId="3" xfId="0" applyAlignment="1" applyFont="1" applyNumberFormat="1">
      <alignment shrinkToFit="0" wrapText="0"/>
    </xf>
    <xf borderId="0" fillId="2" fontId="21" numFmtId="3" xfId="0" applyAlignment="1" applyFont="1" applyNumberFormat="1">
      <alignment shrinkToFit="0" wrapText="0"/>
    </xf>
    <xf borderId="0" fillId="2" fontId="17" numFmtId="0" xfId="0" applyFont="1"/>
    <xf borderId="0" fillId="0" fontId="3" numFmtId="9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right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6" numFmtId="10" xfId="0" applyFont="1" applyNumberFormat="1"/>
    <xf borderId="5" fillId="0" fontId="25" numFmtId="0" xfId="0" applyAlignment="1" applyBorder="1" applyFont="1">
      <alignment shrinkToFit="0" wrapText="0"/>
    </xf>
    <xf borderId="6" fillId="0" fontId="8" numFmtId="0" xfId="0" applyAlignment="1" applyBorder="1" applyFont="1">
      <alignment vertical="bottom"/>
    </xf>
    <xf borderId="3" fillId="5" fontId="4" numFmtId="0" xfId="0" applyAlignment="1" applyBorder="1" applyFont="1">
      <alignment vertical="bottom"/>
    </xf>
    <xf borderId="4" fillId="5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center" vertical="bottom"/>
    </xf>
    <xf borderId="0" fillId="13" fontId="8" numFmtId="0" xfId="0" applyAlignment="1" applyFill="1" applyFont="1">
      <alignment horizontal="lef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1" fillId="14" fontId="8" numFmtId="3" xfId="0" applyAlignment="1" applyBorder="1" applyFill="1" applyFont="1" applyNumberFormat="1">
      <alignment shrinkToFit="0" vertical="bottom" wrapText="0"/>
    </xf>
    <xf borderId="2" fillId="14" fontId="8" numFmtId="3" xfId="0" applyAlignment="1" applyBorder="1" applyFont="1" applyNumberFormat="1">
      <alignment shrinkToFit="0" vertical="bottom" wrapText="0"/>
    </xf>
    <xf borderId="3" fillId="14" fontId="8" numFmtId="3" xfId="0" applyAlignment="1" applyBorder="1" applyFont="1" applyNumberFormat="1">
      <alignment shrinkToFit="0" vertical="bottom" wrapText="0"/>
    </xf>
    <xf borderId="4" fillId="14" fontId="8" numFmtId="3" xfId="0" applyAlignment="1" applyBorder="1" applyFont="1" applyNumberFormat="1">
      <alignment shrinkToFit="0" vertical="bottom" wrapText="0"/>
    </xf>
    <xf borderId="1" fillId="15" fontId="8" numFmtId="3" xfId="0" applyAlignment="1" applyBorder="1" applyFill="1" applyFont="1" applyNumberFormat="1">
      <alignment shrinkToFit="0" vertical="bottom" wrapText="0"/>
    </xf>
    <xf borderId="2" fillId="15" fontId="8" numFmtId="3" xfId="0" applyAlignment="1" applyBorder="1" applyFont="1" applyNumberFormat="1">
      <alignment shrinkToFit="0" vertical="bottom" wrapText="0"/>
    </xf>
    <xf borderId="3" fillId="15" fontId="8" numFmtId="3" xfId="0" applyAlignment="1" applyBorder="1" applyFont="1" applyNumberFormat="1">
      <alignment shrinkToFit="0" vertical="bottom" wrapText="0"/>
    </xf>
    <xf borderId="4" fillId="15" fontId="8" numFmtId="3" xfId="0" applyAlignment="1" applyBorder="1" applyFont="1" applyNumberFormat="1">
      <alignment shrinkToFit="0" vertical="bottom" wrapText="0"/>
    </xf>
    <xf borderId="0" fillId="0" fontId="8" numFmtId="0" xfId="0" applyAlignment="1" applyFont="1">
      <alignment readingOrder="0" vertical="bottom"/>
    </xf>
    <xf borderId="0" fillId="13" fontId="8" numFmtId="0" xfId="0" applyAlignment="1" applyFont="1">
      <alignment horizontal="right" vertical="bottom"/>
    </xf>
    <xf borderId="0" fillId="13" fontId="8" numFmtId="0" xfId="0" applyAlignment="1" applyFont="1">
      <alignment horizontal="right" shrinkToFit="0" vertical="bottom" wrapText="0"/>
    </xf>
    <xf borderId="0" fillId="15" fontId="8" numFmtId="0" xfId="0" applyAlignment="1" applyFont="1">
      <alignment horizontal="left" vertical="bottom"/>
    </xf>
    <xf borderId="0" fillId="4" fontId="8" numFmtId="0" xfId="0" applyAlignment="1" applyFont="1">
      <alignment horizontal="right" vertical="bottom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vertical="bottom"/>
    </xf>
    <xf borderId="0" fillId="14" fontId="8" numFmtId="3" xfId="0" applyAlignment="1" applyFont="1" applyNumberFormat="1">
      <alignment shrinkToFit="0" vertical="bottom" wrapText="0"/>
    </xf>
    <xf borderId="0" fillId="16" fontId="8" numFmtId="3" xfId="0" applyAlignment="1" applyFill="1" applyFont="1" applyNumberFormat="1">
      <alignment shrinkToFit="0" vertical="bottom" wrapText="0"/>
    </xf>
    <xf borderId="0" fillId="13" fontId="8" numFmtId="3" xfId="0" applyAlignment="1" applyFont="1" applyNumberFormat="1">
      <alignment shrinkToFit="0" vertical="bottom" wrapText="0"/>
    </xf>
    <xf borderId="0" fillId="15" fontId="8" numFmtId="3" xfId="0" applyAlignment="1" applyFont="1" applyNumberFormat="1">
      <alignment shrinkToFit="0" vertical="bottom" wrapText="0"/>
    </xf>
    <xf borderId="0" fillId="16" fontId="8" numFmtId="0" xfId="0" applyAlignment="1" applyFont="1">
      <alignment horizontal="left" vertical="bottom"/>
    </xf>
    <xf borderId="0" fillId="4" fontId="10" numFmtId="0" xfId="0" applyFont="1"/>
    <xf borderId="0" fillId="4" fontId="8" numFmtId="0" xfId="0" applyAlignment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63"/>
    <col customWidth="1" min="3" max="3" width="5.5"/>
    <col customWidth="1" min="4" max="4" width="13.38"/>
    <col customWidth="1" min="5" max="5" width="19.13"/>
    <col customWidth="1" min="6" max="6" width="5.25"/>
    <col customWidth="1" min="7" max="10" width="12.63"/>
    <col customWidth="1" min="11" max="12" width="15.75"/>
  </cols>
  <sheetData>
    <row r="1" ht="37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>
        <v>0.0</v>
      </c>
      <c r="J1" s="1" t="s">
        <v>8</v>
      </c>
      <c r="K1" s="1" t="s">
        <v>9</v>
      </c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11</v>
      </c>
      <c r="B2" s="6" t="s">
        <v>12</v>
      </c>
      <c r="C2" s="7">
        <v>1.0</v>
      </c>
      <c r="D2" s="8" t="s">
        <v>13</v>
      </c>
      <c r="E2" s="5" t="s">
        <v>14</v>
      </c>
      <c r="F2" s="5">
        <v>18.0</v>
      </c>
      <c r="G2" s="6" t="s">
        <v>15</v>
      </c>
      <c r="H2" s="5"/>
      <c r="I2" s="5"/>
      <c r="J2" s="5" t="s">
        <v>16</v>
      </c>
      <c r="K2" s="5"/>
      <c r="L2" s="9"/>
      <c r="M2" s="9"/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 t="s">
        <v>17</v>
      </c>
      <c r="B3" s="6" t="s">
        <v>18</v>
      </c>
      <c r="C3" s="7">
        <v>1.0</v>
      </c>
      <c r="D3" s="8" t="s">
        <v>19</v>
      </c>
      <c r="E3" s="5" t="s">
        <v>14</v>
      </c>
      <c r="F3" s="11">
        <v>12.0</v>
      </c>
      <c r="G3" s="6" t="s">
        <v>15</v>
      </c>
      <c r="H3" s="9"/>
      <c r="I3" s="9"/>
      <c r="J3" s="5" t="s">
        <v>16</v>
      </c>
      <c r="K3" s="9"/>
      <c r="L3" s="9"/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0" t="s">
        <v>20</v>
      </c>
      <c r="B4" s="6" t="s">
        <v>21</v>
      </c>
      <c r="C4" s="7">
        <v>1.0</v>
      </c>
      <c r="D4" s="8" t="s">
        <v>22</v>
      </c>
      <c r="E4" s="5" t="s">
        <v>23</v>
      </c>
      <c r="F4" s="11">
        <v>8.0</v>
      </c>
      <c r="G4" s="6" t="s">
        <v>15</v>
      </c>
      <c r="H4" s="9"/>
      <c r="I4" s="9"/>
      <c r="J4" s="5" t="s">
        <v>16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A5" s="10" t="s">
        <v>24</v>
      </c>
      <c r="B5" s="6" t="s">
        <v>25</v>
      </c>
      <c r="C5" s="7">
        <v>1.0</v>
      </c>
      <c r="D5" s="8" t="s">
        <v>26</v>
      </c>
      <c r="E5" s="5" t="s">
        <v>23</v>
      </c>
      <c r="F5" s="11">
        <v>6.0</v>
      </c>
      <c r="G5" s="6" t="s">
        <v>15</v>
      </c>
      <c r="H5" s="9"/>
      <c r="I5" s="9"/>
      <c r="J5" s="5" t="s">
        <v>16</v>
      </c>
      <c r="K5" s="9"/>
      <c r="L5" s="9"/>
      <c r="M5" s="9"/>
      <c r="N5" s="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A6" s="10" t="s">
        <v>27</v>
      </c>
      <c r="B6" s="6" t="s">
        <v>28</v>
      </c>
      <c r="C6" s="7">
        <v>1.0</v>
      </c>
      <c r="D6" s="8" t="s">
        <v>29</v>
      </c>
      <c r="E6" s="5" t="s">
        <v>14</v>
      </c>
      <c r="F6" s="11">
        <v>6.0</v>
      </c>
      <c r="G6" s="6" t="s">
        <v>15</v>
      </c>
      <c r="H6" s="9"/>
      <c r="I6" s="9"/>
      <c r="J6" s="5" t="s">
        <v>16</v>
      </c>
      <c r="K6" s="9"/>
      <c r="L6" s="9"/>
      <c r="M6" s="9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10" t="s">
        <v>30</v>
      </c>
      <c r="B7" s="6" t="s">
        <v>31</v>
      </c>
      <c r="C7" s="7">
        <v>1.0</v>
      </c>
      <c r="D7" s="8" t="s">
        <v>32</v>
      </c>
      <c r="E7" s="5" t="s">
        <v>14</v>
      </c>
      <c r="F7" s="11">
        <v>4.0</v>
      </c>
      <c r="G7" s="6" t="s">
        <v>15</v>
      </c>
      <c r="H7" s="9"/>
      <c r="I7" s="9"/>
      <c r="J7" s="5" t="s">
        <v>16</v>
      </c>
      <c r="K7" s="9"/>
      <c r="L7" s="9"/>
      <c r="M7" s="9"/>
      <c r="N7" s="9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10" t="s">
        <v>33</v>
      </c>
      <c r="B8" s="6" t="s">
        <v>34</v>
      </c>
      <c r="C8" s="7">
        <v>1.0</v>
      </c>
      <c r="D8" s="8" t="s">
        <v>35</v>
      </c>
      <c r="E8" s="5" t="s">
        <v>14</v>
      </c>
      <c r="F8" s="11">
        <v>4.0</v>
      </c>
      <c r="G8" s="6" t="s">
        <v>15</v>
      </c>
      <c r="H8" s="9"/>
      <c r="I8" s="9"/>
      <c r="J8" s="5" t="s">
        <v>16</v>
      </c>
      <c r="K8" s="9"/>
      <c r="L8" s="9"/>
      <c r="M8" s="9"/>
      <c r="N8" s="9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12" t="s">
        <v>36</v>
      </c>
      <c r="B9" s="13" t="s">
        <v>37</v>
      </c>
      <c r="C9" s="14">
        <v>1.0</v>
      </c>
      <c r="D9" s="15" t="s">
        <v>38</v>
      </c>
      <c r="E9" s="12" t="s">
        <v>39</v>
      </c>
      <c r="F9" s="12">
        <v>24.0</v>
      </c>
      <c r="G9" s="13" t="s">
        <v>15</v>
      </c>
      <c r="H9" s="16"/>
      <c r="I9" s="16"/>
      <c r="J9" s="12" t="s">
        <v>16</v>
      </c>
      <c r="K9" s="16"/>
      <c r="L9" s="16"/>
      <c r="M9" s="16"/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ht="15.75" customHeight="1">
      <c r="A10" s="12" t="s">
        <v>40</v>
      </c>
      <c r="B10" s="13" t="s">
        <v>41</v>
      </c>
      <c r="C10" s="14">
        <v>1.0</v>
      </c>
      <c r="D10" s="15" t="s">
        <v>42</v>
      </c>
      <c r="E10" s="12" t="s">
        <v>39</v>
      </c>
      <c r="F10" s="12">
        <v>21.0</v>
      </c>
      <c r="G10" s="13" t="s">
        <v>15</v>
      </c>
      <c r="H10" s="16"/>
      <c r="I10" s="16"/>
      <c r="J10" s="12" t="s">
        <v>16</v>
      </c>
      <c r="K10" s="16"/>
      <c r="L10" s="16"/>
      <c r="M10" s="16"/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ht="15.75" customHeight="1">
      <c r="A11" s="12" t="s">
        <v>43</v>
      </c>
      <c r="B11" s="13" t="s">
        <v>44</v>
      </c>
      <c r="C11" s="14">
        <v>1.0</v>
      </c>
      <c r="D11" s="15" t="s">
        <v>45</v>
      </c>
      <c r="E11" s="12" t="s">
        <v>39</v>
      </c>
      <c r="F11" s="12">
        <v>21.0</v>
      </c>
      <c r="G11" s="13" t="s">
        <v>15</v>
      </c>
      <c r="H11" s="16"/>
      <c r="I11" s="16"/>
      <c r="J11" s="12" t="s">
        <v>16</v>
      </c>
      <c r="K11" s="16"/>
      <c r="L11" s="16"/>
      <c r="M11" s="16"/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5.75" customHeight="1">
      <c r="A12" s="12" t="s">
        <v>36</v>
      </c>
      <c r="B12" s="13" t="s">
        <v>37</v>
      </c>
      <c r="C12" s="14">
        <v>5.0</v>
      </c>
      <c r="D12" s="15" t="s">
        <v>46</v>
      </c>
      <c r="E12" s="12" t="s">
        <v>47</v>
      </c>
      <c r="F12" s="12">
        <v>18.0</v>
      </c>
      <c r="G12" s="13" t="s">
        <v>15</v>
      </c>
      <c r="H12" s="16"/>
      <c r="I12" s="16"/>
      <c r="J12" s="12"/>
      <c r="K12" s="12" t="s">
        <v>48</v>
      </c>
      <c r="L12" s="16"/>
      <c r="M12" s="16"/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ht="15.75" customHeight="1">
      <c r="A13" s="12" t="s">
        <v>49</v>
      </c>
      <c r="B13" s="13" t="s">
        <v>50</v>
      </c>
      <c r="C13" s="14">
        <v>5.0</v>
      </c>
      <c r="D13" s="15" t="s">
        <v>51</v>
      </c>
      <c r="E13" s="12" t="s">
        <v>52</v>
      </c>
      <c r="F13" s="12">
        <v>35.0</v>
      </c>
      <c r="G13" s="13" t="s">
        <v>15</v>
      </c>
      <c r="H13" s="16"/>
      <c r="I13" s="16"/>
      <c r="J13" s="12"/>
      <c r="K13" s="12" t="s">
        <v>48</v>
      </c>
      <c r="L13" s="16"/>
      <c r="M13" s="16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5.75" customHeight="1">
      <c r="A14" s="12" t="s">
        <v>53</v>
      </c>
      <c r="B14" s="13" t="s">
        <v>54</v>
      </c>
      <c r="C14" s="14">
        <v>1.0</v>
      </c>
      <c r="D14" s="15" t="s">
        <v>55</v>
      </c>
      <c r="E14" s="12" t="s">
        <v>56</v>
      </c>
      <c r="F14" s="12">
        <v>21.0</v>
      </c>
      <c r="G14" s="13" t="s">
        <v>15</v>
      </c>
      <c r="H14" s="16"/>
      <c r="I14" s="16"/>
      <c r="J14" s="12" t="s">
        <v>16</v>
      </c>
      <c r="K14" s="16"/>
      <c r="L14" s="16"/>
      <c r="M14" s="16"/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5.75" customHeight="1">
      <c r="A15" s="5" t="s">
        <v>57</v>
      </c>
      <c r="B15" s="6" t="s">
        <v>58</v>
      </c>
      <c r="C15" s="7">
        <v>2.0</v>
      </c>
      <c r="D15" s="6" t="s">
        <v>59</v>
      </c>
      <c r="E15" s="5" t="s">
        <v>60</v>
      </c>
      <c r="F15" s="5">
        <v>12.0</v>
      </c>
      <c r="G15" s="6" t="s">
        <v>15</v>
      </c>
      <c r="H15" s="9"/>
      <c r="I15" s="9"/>
      <c r="J15" s="5" t="s">
        <v>16</v>
      </c>
      <c r="K15" s="9"/>
      <c r="L15" s="9"/>
      <c r="M15" s="9"/>
      <c r="N15" s="9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5" t="s">
        <v>61</v>
      </c>
      <c r="B16" s="6" t="s">
        <v>62</v>
      </c>
      <c r="C16" s="7">
        <v>2.0</v>
      </c>
      <c r="D16" s="6" t="s">
        <v>63</v>
      </c>
      <c r="E16" s="5" t="s">
        <v>60</v>
      </c>
      <c r="F16" s="5">
        <v>6.0</v>
      </c>
      <c r="G16" s="6" t="s">
        <v>15</v>
      </c>
      <c r="H16" s="9"/>
      <c r="I16" s="9"/>
      <c r="J16" s="5" t="s">
        <v>16</v>
      </c>
      <c r="K16" s="9"/>
      <c r="L16" s="9"/>
      <c r="M16" s="9"/>
      <c r="N16" s="9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10" t="s">
        <v>64</v>
      </c>
      <c r="B17" s="6" t="s">
        <v>65</v>
      </c>
      <c r="C17" s="7">
        <v>1.0</v>
      </c>
      <c r="D17" s="6" t="s">
        <v>66</v>
      </c>
      <c r="E17" s="5" t="s">
        <v>67</v>
      </c>
      <c r="F17" s="5">
        <v>4.0</v>
      </c>
      <c r="G17" s="6" t="s">
        <v>15</v>
      </c>
      <c r="H17" s="9"/>
      <c r="I17" s="9"/>
      <c r="J17" s="5" t="s">
        <v>16</v>
      </c>
      <c r="K17" s="9"/>
      <c r="L17" s="9"/>
      <c r="M17" s="9"/>
      <c r="N17" s="9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10" t="s">
        <v>68</v>
      </c>
      <c r="B18" s="6" t="s">
        <v>69</v>
      </c>
      <c r="C18" s="7">
        <v>1.0</v>
      </c>
      <c r="D18" s="6" t="s">
        <v>70</v>
      </c>
      <c r="E18" s="5" t="s">
        <v>67</v>
      </c>
      <c r="F18" s="5">
        <v>2.0</v>
      </c>
      <c r="G18" s="6" t="s">
        <v>15</v>
      </c>
      <c r="H18" s="9"/>
      <c r="I18" s="9"/>
      <c r="J18" s="5" t="s">
        <v>16</v>
      </c>
      <c r="K18" s="9"/>
      <c r="L18" s="9"/>
      <c r="M18" s="9"/>
      <c r="N18" s="9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18" t="s">
        <v>71</v>
      </c>
      <c r="B19" s="6" t="s">
        <v>72</v>
      </c>
      <c r="C19" s="7">
        <v>1.0</v>
      </c>
      <c r="D19" s="8" t="s">
        <v>73</v>
      </c>
      <c r="E19" s="5" t="s">
        <v>74</v>
      </c>
      <c r="F19" s="5">
        <v>12.0</v>
      </c>
      <c r="G19" s="6" t="s">
        <v>15</v>
      </c>
      <c r="H19" s="9"/>
      <c r="I19" s="9"/>
      <c r="J19" s="5" t="s">
        <v>16</v>
      </c>
      <c r="K19" s="9"/>
      <c r="L19" s="9"/>
      <c r="M19" s="9"/>
      <c r="N19" s="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18" t="s">
        <v>75</v>
      </c>
      <c r="B20" s="6" t="s">
        <v>76</v>
      </c>
      <c r="C20" s="7">
        <v>1.0</v>
      </c>
      <c r="D20" s="8" t="s">
        <v>77</v>
      </c>
      <c r="E20" s="5" t="s">
        <v>74</v>
      </c>
      <c r="F20" s="5">
        <v>12.0</v>
      </c>
      <c r="G20" s="6" t="s">
        <v>15</v>
      </c>
      <c r="H20" s="9"/>
      <c r="I20" s="9"/>
      <c r="J20" s="5" t="s">
        <v>16</v>
      </c>
      <c r="K20" s="9"/>
      <c r="L20" s="9"/>
      <c r="M20" s="9"/>
      <c r="N20" s="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18" t="s">
        <v>78</v>
      </c>
      <c r="B21" s="6" t="s">
        <v>79</v>
      </c>
      <c r="C21" s="7">
        <v>1.0</v>
      </c>
      <c r="D21" s="8" t="s">
        <v>80</v>
      </c>
      <c r="E21" s="5" t="s">
        <v>74</v>
      </c>
      <c r="F21" s="5">
        <v>12.0</v>
      </c>
      <c r="G21" s="6" t="s">
        <v>15</v>
      </c>
      <c r="H21" s="9"/>
      <c r="I21" s="9"/>
      <c r="J21" s="5" t="s">
        <v>16</v>
      </c>
      <c r="K21" s="9"/>
      <c r="L21" s="9"/>
      <c r="M21" s="9"/>
      <c r="N21" s="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18" t="s">
        <v>81</v>
      </c>
      <c r="B22" s="6" t="s">
        <v>82</v>
      </c>
      <c r="C22" s="7">
        <v>1.0</v>
      </c>
      <c r="D22" s="8" t="s">
        <v>83</v>
      </c>
      <c r="E22" s="5" t="s">
        <v>74</v>
      </c>
      <c r="F22" s="5">
        <v>12.0</v>
      </c>
      <c r="G22" s="6" t="s">
        <v>15</v>
      </c>
      <c r="H22" s="9"/>
      <c r="I22" s="9"/>
      <c r="J22" s="5" t="s">
        <v>16</v>
      </c>
      <c r="K22" s="9"/>
      <c r="L22" s="9"/>
      <c r="M22" s="9"/>
      <c r="N22" s="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18" t="s">
        <v>84</v>
      </c>
      <c r="B23" s="6" t="s">
        <v>85</v>
      </c>
      <c r="C23" s="7">
        <v>1.0</v>
      </c>
      <c r="D23" s="8" t="s">
        <v>86</v>
      </c>
      <c r="E23" s="5" t="s">
        <v>87</v>
      </c>
      <c r="F23" s="11">
        <v>4.0</v>
      </c>
      <c r="G23" s="6" t="s">
        <v>15</v>
      </c>
      <c r="H23" s="9"/>
      <c r="I23" s="9"/>
      <c r="J23" s="5" t="s">
        <v>16</v>
      </c>
      <c r="K23" s="9"/>
      <c r="L23" s="9"/>
      <c r="M23" s="9"/>
      <c r="N23" s="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18" t="s">
        <v>88</v>
      </c>
      <c r="B24" s="6" t="s">
        <v>89</v>
      </c>
      <c r="C24" s="7">
        <v>1.0</v>
      </c>
      <c r="D24" s="8" t="s">
        <v>90</v>
      </c>
      <c r="E24" s="5" t="s">
        <v>87</v>
      </c>
      <c r="F24" s="5">
        <v>4.0</v>
      </c>
      <c r="G24" s="6" t="s">
        <v>15</v>
      </c>
      <c r="H24" s="9"/>
      <c r="I24" s="9"/>
      <c r="J24" s="5" t="s">
        <v>16</v>
      </c>
      <c r="K24" s="9"/>
      <c r="L24" s="9"/>
      <c r="M24" s="9"/>
      <c r="N24" s="9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18" t="s">
        <v>91</v>
      </c>
      <c r="B25" s="6" t="s">
        <v>92</v>
      </c>
      <c r="C25" s="7">
        <v>2.0</v>
      </c>
      <c r="D25" s="8" t="s">
        <v>93</v>
      </c>
      <c r="E25" s="5" t="s">
        <v>87</v>
      </c>
      <c r="F25" s="5">
        <v>3.0</v>
      </c>
      <c r="G25" s="6" t="s">
        <v>15</v>
      </c>
      <c r="H25" s="9"/>
      <c r="I25" s="9"/>
      <c r="J25" s="5" t="s">
        <v>16</v>
      </c>
      <c r="K25" s="9"/>
      <c r="L25" s="9"/>
      <c r="M25" s="9"/>
      <c r="N25" s="9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18" t="s">
        <v>94</v>
      </c>
      <c r="B26" s="6" t="s">
        <v>95</v>
      </c>
      <c r="C26" s="7">
        <v>2.0</v>
      </c>
      <c r="D26" s="8" t="s">
        <v>96</v>
      </c>
      <c r="E26" s="5" t="s">
        <v>87</v>
      </c>
      <c r="F26" s="5">
        <v>3.0</v>
      </c>
      <c r="G26" s="6" t="s">
        <v>15</v>
      </c>
      <c r="H26" s="9"/>
      <c r="I26" s="9"/>
      <c r="J26" s="5" t="s">
        <v>16</v>
      </c>
      <c r="K26" s="9"/>
      <c r="L26" s="9"/>
      <c r="M26" s="9"/>
      <c r="N26" s="9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18" t="s">
        <v>97</v>
      </c>
      <c r="B27" s="6" t="s">
        <v>98</v>
      </c>
      <c r="C27" s="7">
        <v>2.0</v>
      </c>
      <c r="D27" s="8" t="s">
        <v>99</v>
      </c>
      <c r="E27" s="5" t="s">
        <v>87</v>
      </c>
      <c r="F27" s="5">
        <v>2.0</v>
      </c>
      <c r="G27" s="6" t="s">
        <v>15</v>
      </c>
      <c r="H27" s="9"/>
      <c r="I27" s="9"/>
      <c r="J27" s="5" t="s">
        <v>16</v>
      </c>
      <c r="K27" s="9"/>
      <c r="L27" s="9"/>
      <c r="M27" s="9"/>
      <c r="N27" s="9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18" t="s">
        <v>100</v>
      </c>
      <c r="B28" s="6" t="s">
        <v>101</v>
      </c>
      <c r="C28" s="7">
        <v>2.0</v>
      </c>
      <c r="D28" s="8" t="s">
        <v>102</v>
      </c>
      <c r="E28" s="5" t="s">
        <v>87</v>
      </c>
      <c r="F28" s="5">
        <v>2.0</v>
      </c>
      <c r="G28" s="6" t="s">
        <v>15</v>
      </c>
      <c r="H28" s="9"/>
      <c r="I28" s="9"/>
      <c r="J28" s="5" t="s">
        <v>16</v>
      </c>
      <c r="K28" s="9"/>
      <c r="L28" s="9"/>
      <c r="M28" s="9"/>
      <c r="N28" s="9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18" t="s">
        <v>103</v>
      </c>
      <c r="B29" s="6" t="s">
        <v>104</v>
      </c>
      <c r="C29" s="7">
        <v>1.0</v>
      </c>
      <c r="D29" s="8" t="s">
        <v>105</v>
      </c>
      <c r="E29" s="5" t="s">
        <v>106</v>
      </c>
      <c r="F29" s="5">
        <v>3.0</v>
      </c>
      <c r="G29" s="6" t="s">
        <v>15</v>
      </c>
      <c r="H29" s="9"/>
      <c r="I29" s="9"/>
      <c r="J29" s="5" t="s">
        <v>16</v>
      </c>
      <c r="K29" s="9"/>
      <c r="L29" s="9"/>
      <c r="M29" s="9"/>
      <c r="N29" s="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18" t="s">
        <v>107</v>
      </c>
      <c r="B30" s="6" t="s">
        <v>108</v>
      </c>
      <c r="C30" s="7">
        <v>1.0</v>
      </c>
      <c r="D30" s="8" t="s">
        <v>109</v>
      </c>
      <c r="E30" s="5" t="s">
        <v>106</v>
      </c>
      <c r="F30" s="5">
        <v>3.0</v>
      </c>
      <c r="G30" s="6" t="s">
        <v>15</v>
      </c>
      <c r="H30" s="9"/>
      <c r="I30" s="9"/>
      <c r="J30" s="5" t="s">
        <v>16</v>
      </c>
      <c r="K30" s="9"/>
      <c r="L30" s="9"/>
      <c r="M30" s="9"/>
      <c r="N30" s="9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18" t="s">
        <v>110</v>
      </c>
      <c r="B31" s="6" t="s">
        <v>111</v>
      </c>
      <c r="C31" s="7">
        <v>2.0</v>
      </c>
      <c r="D31" s="8" t="s">
        <v>112</v>
      </c>
      <c r="E31" s="5" t="s">
        <v>106</v>
      </c>
      <c r="F31" s="5">
        <v>1.0</v>
      </c>
      <c r="G31" s="6" t="s">
        <v>15</v>
      </c>
      <c r="H31" s="9"/>
      <c r="I31" s="9"/>
      <c r="J31" s="5" t="s">
        <v>16</v>
      </c>
      <c r="K31" s="9"/>
      <c r="L31" s="9"/>
      <c r="M31" s="9"/>
      <c r="N31" s="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18" t="s">
        <v>113</v>
      </c>
      <c r="B32" s="6" t="s">
        <v>114</v>
      </c>
      <c r="C32" s="7">
        <v>2.0</v>
      </c>
      <c r="D32" s="8" t="s">
        <v>115</v>
      </c>
      <c r="E32" s="5" t="s">
        <v>106</v>
      </c>
      <c r="F32" s="5">
        <v>1.0</v>
      </c>
      <c r="G32" s="6" t="s">
        <v>15</v>
      </c>
      <c r="H32" s="9"/>
      <c r="I32" s="9"/>
      <c r="J32" s="5" t="s">
        <v>16</v>
      </c>
      <c r="K32" s="9"/>
      <c r="L32" s="9"/>
      <c r="M32" s="9"/>
      <c r="N32" s="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5" t="s">
        <v>116</v>
      </c>
      <c r="B33" s="6" t="s">
        <v>117</v>
      </c>
      <c r="C33" s="7">
        <v>2.0</v>
      </c>
      <c r="D33" s="8" t="s">
        <v>118</v>
      </c>
      <c r="E33" s="5" t="s">
        <v>119</v>
      </c>
      <c r="F33" s="5">
        <v>2.0</v>
      </c>
      <c r="G33" s="6"/>
      <c r="H33" s="6" t="s">
        <v>120</v>
      </c>
      <c r="I33" s="9"/>
      <c r="J33" s="5" t="s">
        <v>16</v>
      </c>
      <c r="K33" s="9"/>
      <c r="L33" s="9"/>
      <c r="M33" s="9"/>
      <c r="N33" s="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5" t="s">
        <v>121</v>
      </c>
      <c r="B34" s="6" t="s">
        <v>122</v>
      </c>
      <c r="C34" s="7">
        <v>2.0</v>
      </c>
      <c r="D34" s="8" t="s">
        <v>123</v>
      </c>
      <c r="E34" s="5" t="s">
        <v>119</v>
      </c>
      <c r="F34" s="5">
        <v>2.0</v>
      </c>
      <c r="G34" s="6"/>
      <c r="H34" s="6" t="s">
        <v>120</v>
      </c>
      <c r="I34" s="9"/>
      <c r="J34" s="5" t="s">
        <v>16</v>
      </c>
      <c r="K34" s="9"/>
      <c r="L34" s="9"/>
      <c r="M34" s="9"/>
      <c r="N34" s="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12" t="s">
        <v>124</v>
      </c>
      <c r="B35" s="13" t="s">
        <v>125</v>
      </c>
      <c r="C35" s="14">
        <v>2.0</v>
      </c>
      <c r="D35" s="15" t="s">
        <v>126</v>
      </c>
      <c r="E35" s="12" t="s">
        <v>127</v>
      </c>
      <c r="F35" s="12">
        <v>12.0</v>
      </c>
      <c r="G35" s="13" t="s">
        <v>15</v>
      </c>
      <c r="H35" s="16"/>
      <c r="I35" s="16"/>
      <c r="J35" s="12" t="s">
        <v>16</v>
      </c>
      <c r="K35" s="12"/>
      <c r="L35" s="12" t="s">
        <v>128</v>
      </c>
      <c r="M35" s="16"/>
      <c r="N35" s="1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5.75" customHeight="1">
      <c r="A36" s="12" t="s">
        <v>129</v>
      </c>
      <c r="B36" s="13" t="s">
        <v>125</v>
      </c>
      <c r="C36" s="14">
        <v>5.0</v>
      </c>
      <c r="D36" s="15" t="s">
        <v>130</v>
      </c>
      <c r="E36" s="12" t="s">
        <v>127</v>
      </c>
      <c r="F36" s="12">
        <v>9.0</v>
      </c>
      <c r="G36" s="13" t="s">
        <v>15</v>
      </c>
      <c r="H36" s="16"/>
      <c r="I36" s="16"/>
      <c r="J36" s="16"/>
      <c r="K36" s="12" t="s">
        <v>48</v>
      </c>
      <c r="L36" s="16"/>
      <c r="M36" s="16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5.75" customHeight="1">
      <c r="A37" s="19" t="s">
        <v>131</v>
      </c>
      <c r="B37" s="13" t="s">
        <v>132</v>
      </c>
      <c r="C37" s="12">
        <v>2.0</v>
      </c>
      <c r="D37" s="13" t="s">
        <v>133</v>
      </c>
      <c r="E37" s="12" t="s">
        <v>127</v>
      </c>
      <c r="F37" s="12">
        <v>9.0</v>
      </c>
      <c r="G37" s="13" t="s">
        <v>15</v>
      </c>
      <c r="H37" s="16"/>
      <c r="I37" s="16"/>
      <c r="J37" s="12" t="s">
        <v>16</v>
      </c>
      <c r="K37" s="12"/>
      <c r="L37" s="16"/>
      <c r="M37" s="16"/>
      <c r="N37" s="1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75" customHeight="1">
      <c r="A38" s="19" t="s">
        <v>134</v>
      </c>
      <c r="B38" s="13" t="s">
        <v>132</v>
      </c>
      <c r="C38" s="12">
        <v>5.0</v>
      </c>
      <c r="D38" s="13" t="s">
        <v>135</v>
      </c>
      <c r="E38" s="12" t="s">
        <v>127</v>
      </c>
      <c r="F38" s="12">
        <v>9.0</v>
      </c>
      <c r="G38" s="13" t="s">
        <v>15</v>
      </c>
      <c r="H38" s="16"/>
      <c r="I38" s="16"/>
      <c r="J38" s="16"/>
      <c r="K38" s="12" t="s">
        <v>48</v>
      </c>
      <c r="L38" s="16"/>
      <c r="M38" s="16"/>
      <c r="N38" s="1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5.75" customHeight="1">
      <c r="A39" s="19" t="s">
        <v>136</v>
      </c>
      <c r="B39" s="13" t="s">
        <v>137</v>
      </c>
      <c r="C39" s="12">
        <v>2.0</v>
      </c>
      <c r="D39" s="13" t="s">
        <v>138</v>
      </c>
      <c r="E39" s="12" t="s">
        <v>127</v>
      </c>
      <c r="F39" s="12">
        <v>9.0</v>
      </c>
      <c r="G39" s="13" t="s">
        <v>15</v>
      </c>
      <c r="H39" s="16"/>
      <c r="I39" s="16"/>
      <c r="J39" s="12" t="s">
        <v>16</v>
      </c>
      <c r="K39" s="12"/>
      <c r="L39" s="16"/>
      <c r="M39" s="16"/>
      <c r="N39" s="16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75" customHeight="1">
      <c r="A40" s="20" t="s">
        <v>139</v>
      </c>
      <c r="B40" s="13" t="s">
        <v>137</v>
      </c>
      <c r="C40" s="12">
        <v>5.0</v>
      </c>
      <c r="D40" s="13" t="s">
        <v>140</v>
      </c>
      <c r="E40" s="12" t="s">
        <v>127</v>
      </c>
      <c r="F40" s="12">
        <v>9.0</v>
      </c>
      <c r="G40" s="13" t="s">
        <v>15</v>
      </c>
      <c r="H40" s="16"/>
      <c r="I40" s="16"/>
      <c r="J40" s="16"/>
      <c r="K40" s="12" t="s">
        <v>48</v>
      </c>
      <c r="L40" s="16"/>
      <c r="M40" s="16"/>
      <c r="N40" s="1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75" customHeight="1">
      <c r="A41" s="20" t="s">
        <v>141</v>
      </c>
      <c r="B41" s="13" t="s">
        <v>142</v>
      </c>
      <c r="C41" s="12">
        <v>2.0</v>
      </c>
      <c r="D41" s="13" t="s">
        <v>18</v>
      </c>
      <c r="E41" s="12" t="s">
        <v>127</v>
      </c>
      <c r="F41" s="12">
        <v>12.0</v>
      </c>
      <c r="G41" s="13" t="s">
        <v>15</v>
      </c>
      <c r="H41" s="16"/>
      <c r="I41" s="16"/>
      <c r="J41" s="12" t="s">
        <v>16</v>
      </c>
      <c r="K41" s="12"/>
      <c r="L41" s="16"/>
      <c r="M41" s="16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75" customHeight="1">
      <c r="A42" s="20" t="s">
        <v>143</v>
      </c>
      <c r="B42" s="13" t="s">
        <v>142</v>
      </c>
      <c r="C42" s="12">
        <v>5.0</v>
      </c>
      <c r="D42" s="13" t="s">
        <v>144</v>
      </c>
      <c r="E42" s="12" t="s">
        <v>127</v>
      </c>
      <c r="F42" s="12">
        <v>8.0</v>
      </c>
      <c r="G42" s="13" t="s">
        <v>15</v>
      </c>
      <c r="H42" s="16"/>
      <c r="I42" s="16"/>
      <c r="J42" s="16"/>
      <c r="K42" s="12" t="s">
        <v>48</v>
      </c>
      <c r="L42" s="16"/>
      <c r="M42" s="16"/>
      <c r="N42" s="1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75" customHeight="1">
      <c r="A43" s="20" t="s">
        <v>145</v>
      </c>
      <c r="B43" s="13" t="s">
        <v>146</v>
      </c>
      <c r="C43" s="12">
        <v>2.0</v>
      </c>
      <c r="D43" s="13" t="s">
        <v>147</v>
      </c>
      <c r="E43" s="12" t="s">
        <v>127</v>
      </c>
      <c r="F43" s="12">
        <v>8.0</v>
      </c>
      <c r="G43" s="13" t="s">
        <v>15</v>
      </c>
      <c r="H43" s="16"/>
      <c r="I43" s="16"/>
      <c r="J43" s="12" t="s">
        <v>16</v>
      </c>
      <c r="K43" s="12"/>
      <c r="L43" s="16"/>
      <c r="M43" s="16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75" customHeight="1">
      <c r="A44" s="20" t="s">
        <v>148</v>
      </c>
      <c r="B44" s="13" t="s">
        <v>146</v>
      </c>
      <c r="C44" s="12">
        <v>5.0</v>
      </c>
      <c r="D44" s="13" t="s">
        <v>149</v>
      </c>
      <c r="E44" s="12" t="s">
        <v>127</v>
      </c>
      <c r="F44" s="12">
        <v>8.0</v>
      </c>
      <c r="G44" s="13" t="s">
        <v>15</v>
      </c>
      <c r="H44" s="16"/>
      <c r="I44" s="16"/>
      <c r="J44" s="16"/>
      <c r="K44" s="12" t="s">
        <v>48</v>
      </c>
      <c r="L44" s="16"/>
      <c r="M44" s="16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5.75" customHeight="1">
      <c r="A45" s="20" t="s">
        <v>150</v>
      </c>
      <c r="B45" s="13" t="s">
        <v>151</v>
      </c>
      <c r="C45" s="12">
        <v>2.0</v>
      </c>
      <c r="D45" s="13" t="s">
        <v>152</v>
      </c>
      <c r="E45" s="12" t="s">
        <v>127</v>
      </c>
      <c r="F45" s="12">
        <v>4.0</v>
      </c>
      <c r="G45" s="13" t="s">
        <v>15</v>
      </c>
      <c r="H45" s="16"/>
      <c r="I45" s="16"/>
      <c r="J45" s="12" t="s">
        <v>16</v>
      </c>
      <c r="K45" s="12"/>
      <c r="L45" s="16"/>
      <c r="M45" s="16"/>
      <c r="N45" s="16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5.75" customHeight="1">
      <c r="A46" s="20" t="s">
        <v>153</v>
      </c>
      <c r="B46" s="21" t="s">
        <v>154</v>
      </c>
      <c r="C46" s="12">
        <v>2.0</v>
      </c>
      <c r="D46" s="13" t="s">
        <v>155</v>
      </c>
      <c r="E46" s="12" t="s">
        <v>127</v>
      </c>
      <c r="F46" s="12">
        <v>24.0</v>
      </c>
      <c r="G46" s="13" t="s">
        <v>15</v>
      </c>
      <c r="H46" s="16"/>
      <c r="I46" s="16"/>
      <c r="J46" s="12" t="s">
        <v>16</v>
      </c>
      <c r="K46" s="12"/>
      <c r="L46" s="16"/>
      <c r="M46" s="16"/>
      <c r="N46" s="1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15.75" customHeight="1">
      <c r="A47" s="20" t="s">
        <v>156</v>
      </c>
      <c r="B47" s="21" t="s">
        <v>157</v>
      </c>
      <c r="C47" s="12">
        <v>2.0</v>
      </c>
      <c r="D47" s="13" t="s">
        <v>158</v>
      </c>
      <c r="E47" s="12" t="s">
        <v>127</v>
      </c>
      <c r="F47" s="12">
        <v>12.0</v>
      </c>
      <c r="G47" s="13" t="s">
        <v>15</v>
      </c>
      <c r="H47" s="16"/>
      <c r="I47" s="16"/>
      <c r="J47" s="12" t="s">
        <v>16</v>
      </c>
      <c r="K47" s="12"/>
      <c r="L47" s="16"/>
      <c r="M47" s="16"/>
      <c r="N47" s="1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5.75" customHeight="1">
      <c r="A48" s="22" t="s">
        <v>159</v>
      </c>
      <c r="B48" s="21" t="s">
        <v>160</v>
      </c>
      <c r="C48" s="22">
        <v>2.0</v>
      </c>
      <c r="D48" s="21" t="s">
        <v>161</v>
      </c>
      <c r="E48" s="12" t="s">
        <v>127</v>
      </c>
      <c r="F48" s="22">
        <v>16.0</v>
      </c>
      <c r="G48" s="13" t="s">
        <v>15</v>
      </c>
      <c r="H48" s="23"/>
      <c r="I48" s="23"/>
      <c r="J48" s="12" t="s">
        <v>16</v>
      </c>
      <c r="K48" s="12"/>
      <c r="L48" s="16"/>
      <c r="M48" s="16"/>
      <c r="N48" s="1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15.75" customHeight="1">
      <c r="A49" s="12" t="s">
        <v>162</v>
      </c>
      <c r="B49" s="21" t="s">
        <v>163</v>
      </c>
      <c r="C49" s="22">
        <v>2.0</v>
      </c>
      <c r="D49" s="21" t="s">
        <v>164</v>
      </c>
      <c r="E49" s="12" t="s">
        <v>127</v>
      </c>
      <c r="F49" s="22">
        <v>8.0</v>
      </c>
      <c r="G49" s="13" t="s">
        <v>15</v>
      </c>
      <c r="H49" s="23"/>
      <c r="I49" s="23"/>
      <c r="J49" s="12" t="s">
        <v>16</v>
      </c>
      <c r="K49" s="12"/>
      <c r="L49" s="16"/>
      <c r="M49" s="16"/>
      <c r="N49" s="16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5.75" customHeight="1">
      <c r="A50" s="12" t="s">
        <v>165</v>
      </c>
      <c r="B50" s="21" t="s">
        <v>166</v>
      </c>
      <c r="C50" s="22">
        <v>2.0</v>
      </c>
      <c r="D50" s="21" t="s">
        <v>167</v>
      </c>
      <c r="E50" s="22" t="s">
        <v>168</v>
      </c>
      <c r="F50" s="22">
        <v>15.0</v>
      </c>
      <c r="G50" s="13" t="s">
        <v>15</v>
      </c>
      <c r="H50" s="23"/>
      <c r="I50" s="23"/>
      <c r="J50" s="12" t="s">
        <v>16</v>
      </c>
      <c r="K50" s="12"/>
      <c r="L50" s="16"/>
      <c r="M50" s="16"/>
      <c r="N50" s="16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75" customHeight="1">
      <c r="A51" s="12" t="s">
        <v>169</v>
      </c>
      <c r="B51" s="21" t="s">
        <v>170</v>
      </c>
      <c r="C51" s="24">
        <v>2.0</v>
      </c>
      <c r="D51" s="21" t="s">
        <v>171</v>
      </c>
      <c r="E51" s="22" t="s">
        <v>168</v>
      </c>
      <c r="F51" s="22">
        <v>12.0</v>
      </c>
      <c r="G51" s="13" t="s">
        <v>15</v>
      </c>
      <c r="H51" s="23"/>
      <c r="I51" s="23"/>
      <c r="J51" s="12" t="s">
        <v>16</v>
      </c>
      <c r="K51" s="12"/>
      <c r="L51" s="16"/>
      <c r="M51" s="16"/>
      <c r="N51" s="1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15.75" customHeight="1">
      <c r="A52" s="25" t="s">
        <v>172</v>
      </c>
      <c r="B52" s="21" t="s">
        <v>173</v>
      </c>
      <c r="C52" s="24">
        <v>2.0</v>
      </c>
      <c r="D52" s="21" t="s">
        <v>174</v>
      </c>
      <c r="E52" s="22" t="s">
        <v>168</v>
      </c>
      <c r="F52" s="22">
        <v>10.0</v>
      </c>
      <c r="G52" s="13" t="s">
        <v>15</v>
      </c>
      <c r="H52" s="23"/>
      <c r="I52" s="23"/>
      <c r="J52" s="12" t="s">
        <v>16</v>
      </c>
      <c r="K52" s="12"/>
      <c r="L52" s="16"/>
      <c r="M52" s="16"/>
      <c r="N52" s="1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15.75" customHeight="1">
      <c r="A53" s="25" t="s">
        <v>175</v>
      </c>
      <c r="B53" s="21" t="s">
        <v>176</v>
      </c>
      <c r="C53" s="24">
        <v>2.0</v>
      </c>
      <c r="D53" s="21" t="s">
        <v>177</v>
      </c>
      <c r="E53" s="22" t="s">
        <v>168</v>
      </c>
      <c r="F53" s="22">
        <v>6.0</v>
      </c>
      <c r="G53" s="13" t="s">
        <v>15</v>
      </c>
      <c r="H53" s="23"/>
      <c r="I53" s="23"/>
      <c r="J53" s="12" t="s">
        <v>16</v>
      </c>
      <c r="K53" s="12"/>
      <c r="L53" s="16"/>
      <c r="M53" s="16"/>
      <c r="N53" s="16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15.75" customHeight="1">
      <c r="A54" s="25" t="s">
        <v>178</v>
      </c>
      <c r="B54" s="21" t="s">
        <v>179</v>
      </c>
      <c r="C54" s="24">
        <v>5.0</v>
      </c>
      <c r="D54" s="21" t="s">
        <v>180</v>
      </c>
      <c r="E54" s="22" t="s">
        <v>181</v>
      </c>
      <c r="F54" s="22">
        <v>24.0</v>
      </c>
      <c r="G54" s="13" t="s">
        <v>15</v>
      </c>
      <c r="H54" s="23"/>
      <c r="I54" s="23"/>
      <c r="J54" s="23"/>
      <c r="K54" s="12" t="s">
        <v>48</v>
      </c>
      <c r="L54" s="16"/>
      <c r="M54" s="16"/>
      <c r="N54" s="16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15.75" customHeight="1">
      <c r="A55" s="25" t="s">
        <v>182</v>
      </c>
      <c r="B55" s="21" t="s">
        <v>183</v>
      </c>
      <c r="C55" s="24">
        <v>5.0</v>
      </c>
      <c r="D55" s="21" t="s">
        <v>184</v>
      </c>
      <c r="E55" s="22" t="s">
        <v>181</v>
      </c>
      <c r="F55" s="22">
        <v>24.0</v>
      </c>
      <c r="G55" s="13" t="s">
        <v>15</v>
      </c>
      <c r="H55" s="23"/>
      <c r="I55" s="23"/>
      <c r="J55" s="23"/>
      <c r="K55" s="12" t="s">
        <v>48</v>
      </c>
      <c r="L55" s="16"/>
      <c r="M55" s="16"/>
      <c r="N55" s="16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ht="15.75" customHeight="1">
      <c r="A56" s="10" t="s">
        <v>185</v>
      </c>
      <c r="B56" s="6" t="s">
        <v>34</v>
      </c>
      <c r="C56" s="26">
        <v>2.0</v>
      </c>
      <c r="D56" s="27" t="s">
        <v>186</v>
      </c>
      <c r="E56" s="28" t="s">
        <v>187</v>
      </c>
      <c r="F56" s="28">
        <v>4.0</v>
      </c>
      <c r="G56" s="6" t="s">
        <v>15</v>
      </c>
      <c r="H56" s="29"/>
      <c r="I56" s="29"/>
      <c r="J56" s="5" t="s">
        <v>16</v>
      </c>
      <c r="K56" s="29"/>
      <c r="L56" s="9"/>
      <c r="M56" s="9"/>
      <c r="N56" s="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5" t="s">
        <v>188</v>
      </c>
      <c r="B57" s="6" t="s">
        <v>189</v>
      </c>
      <c r="C57" s="30">
        <v>2.0</v>
      </c>
      <c r="D57" s="27" t="s">
        <v>190</v>
      </c>
      <c r="E57" s="28" t="s">
        <v>191</v>
      </c>
      <c r="F57" s="28">
        <v>4.0</v>
      </c>
      <c r="G57" s="6" t="s">
        <v>15</v>
      </c>
      <c r="H57" s="29"/>
      <c r="I57" s="29"/>
      <c r="J57" s="5" t="s">
        <v>16</v>
      </c>
      <c r="K57" s="29"/>
      <c r="L57" s="9"/>
      <c r="M57" s="9"/>
      <c r="N57" s="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9" t="s">
        <v>192</v>
      </c>
      <c r="B58" s="6" t="s">
        <v>193</v>
      </c>
      <c r="C58" s="26">
        <v>3.0</v>
      </c>
      <c r="D58" s="27" t="s">
        <v>194</v>
      </c>
      <c r="E58" s="28" t="s">
        <v>187</v>
      </c>
      <c r="F58" s="28">
        <v>2.0</v>
      </c>
      <c r="G58" s="6" t="s">
        <v>15</v>
      </c>
      <c r="H58" s="29"/>
      <c r="I58" s="29"/>
      <c r="J58" s="5" t="s">
        <v>16</v>
      </c>
      <c r="K58" s="29"/>
      <c r="L58" s="9"/>
      <c r="M58" s="9"/>
      <c r="N58" s="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5" t="s">
        <v>195</v>
      </c>
      <c r="B59" s="6" t="s">
        <v>196</v>
      </c>
      <c r="C59" s="30">
        <v>3.0</v>
      </c>
      <c r="D59" s="27" t="s">
        <v>197</v>
      </c>
      <c r="E59" s="28" t="s">
        <v>191</v>
      </c>
      <c r="F59" s="28">
        <v>2.0</v>
      </c>
      <c r="G59" s="6" t="s">
        <v>15</v>
      </c>
      <c r="H59" s="29"/>
      <c r="I59" s="29"/>
      <c r="J59" s="5" t="s">
        <v>16</v>
      </c>
      <c r="K59" s="29"/>
      <c r="L59" s="9"/>
      <c r="M59" s="9"/>
      <c r="N59" s="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31" t="s">
        <v>198</v>
      </c>
      <c r="B60" s="27" t="s">
        <v>199</v>
      </c>
      <c r="C60" s="32">
        <v>3.0</v>
      </c>
      <c r="D60" s="33"/>
      <c r="E60" s="28" t="s">
        <v>200</v>
      </c>
      <c r="F60" s="29"/>
      <c r="G60" s="6" t="s">
        <v>15</v>
      </c>
      <c r="H60" s="29"/>
      <c r="I60" s="29"/>
      <c r="J60" s="5" t="s">
        <v>16</v>
      </c>
      <c r="K60" s="29"/>
      <c r="L60" s="9"/>
      <c r="M60" s="9"/>
      <c r="N60" s="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31" t="s">
        <v>201</v>
      </c>
      <c r="B61" s="27" t="s">
        <v>202</v>
      </c>
      <c r="C61" s="32">
        <v>3.0</v>
      </c>
      <c r="D61" s="33"/>
      <c r="E61" s="28" t="s">
        <v>200</v>
      </c>
      <c r="F61" s="29"/>
      <c r="G61" s="6" t="s">
        <v>15</v>
      </c>
      <c r="H61" s="29"/>
      <c r="I61" s="29"/>
      <c r="J61" s="5" t="s">
        <v>16</v>
      </c>
      <c r="K61" s="29"/>
      <c r="L61" s="9"/>
      <c r="M61" s="9"/>
      <c r="N61" s="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31" t="s">
        <v>203</v>
      </c>
      <c r="B62" s="27" t="s">
        <v>204</v>
      </c>
      <c r="C62" s="32">
        <v>3.0</v>
      </c>
      <c r="D62" s="33"/>
      <c r="E62" s="28" t="s">
        <v>205</v>
      </c>
      <c r="F62" s="29"/>
      <c r="G62" s="6" t="s">
        <v>15</v>
      </c>
      <c r="H62" s="29"/>
      <c r="I62" s="29"/>
      <c r="J62" s="5" t="s">
        <v>16</v>
      </c>
      <c r="K62" s="29"/>
      <c r="L62" s="9"/>
      <c r="M62" s="9"/>
      <c r="N62" s="9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31" t="s">
        <v>206</v>
      </c>
      <c r="B63" s="27" t="s">
        <v>207</v>
      </c>
      <c r="C63" s="32">
        <v>3.0</v>
      </c>
      <c r="D63" s="33"/>
      <c r="E63" s="28" t="s">
        <v>205</v>
      </c>
      <c r="F63" s="29"/>
      <c r="G63" s="6" t="s">
        <v>15</v>
      </c>
      <c r="H63" s="29"/>
      <c r="I63" s="29"/>
      <c r="J63" s="5" t="s">
        <v>16</v>
      </c>
      <c r="K63" s="29"/>
      <c r="L63" s="9"/>
      <c r="M63" s="9"/>
      <c r="N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31" t="s">
        <v>208</v>
      </c>
      <c r="B64" s="27" t="s">
        <v>209</v>
      </c>
      <c r="C64" s="32">
        <v>0.0</v>
      </c>
      <c r="D64" s="33"/>
      <c r="E64" s="28" t="s">
        <v>210</v>
      </c>
      <c r="F64" s="29"/>
      <c r="G64" s="6" t="s">
        <v>15</v>
      </c>
      <c r="H64" s="29"/>
      <c r="I64" s="29"/>
      <c r="J64" s="5" t="s">
        <v>16</v>
      </c>
      <c r="K64" s="29"/>
      <c r="L64" s="9"/>
      <c r="M64" s="9"/>
      <c r="N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31" t="s">
        <v>211</v>
      </c>
      <c r="B65" s="27" t="s">
        <v>212</v>
      </c>
      <c r="C65" s="32">
        <v>0.0</v>
      </c>
      <c r="D65" s="33"/>
      <c r="E65" s="28" t="s">
        <v>210</v>
      </c>
      <c r="F65" s="29"/>
      <c r="G65" s="27"/>
      <c r="H65" s="27" t="s">
        <v>120</v>
      </c>
      <c r="I65" s="29"/>
      <c r="J65" s="5" t="s">
        <v>16</v>
      </c>
      <c r="K65" s="29"/>
      <c r="L65" s="9"/>
      <c r="M65" s="9"/>
      <c r="N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31" t="s">
        <v>213</v>
      </c>
      <c r="B66" s="27" t="s">
        <v>214</v>
      </c>
      <c r="C66" s="32">
        <v>0.0</v>
      </c>
      <c r="D66" s="33"/>
      <c r="E66" s="28" t="s">
        <v>215</v>
      </c>
      <c r="F66" s="29"/>
      <c r="G66" s="6" t="s">
        <v>15</v>
      </c>
      <c r="H66" s="29"/>
      <c r="I66" s="29"/>
      <c r="J66" s="5" t="s">
        <v>16</v>
      </c>
      <c r="K66" s="29"/>
      <c r="L66" s="9"/>
      <c r="M66" s="9"/>
      <c r="N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31" t="s">
        <v>216</v>
      </c>
      <c r="B67" s="27" t="s">
        <v>217</v>
      </c>
      <c r="C67" s="32">
        <v>0.0</v>
      </c>
      <c r="D67" s="33"/>
      <c r="E67" s="28" t="s">
        <v>218</v>
      </c>
      <c r="F67" s="29"/>
      <c r="G67" s="6" t="s">
        <v>15</v>
      </c>
      <c r="H67" s="29"/>
      <c r="I67" s="29"/>
      <c r="J67" s="5" t="s">
        <v>16</v>
      </c>
      <c r="K67" s="29"/>
      <c r="L67" s="9"/>
      <c r="M67" s="9"/>
      <c r="N67" s="9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31" t="s">
        <v>219</v>
      </c>
      <c r="B68" s="27" t="s">
        <v>220</v>
      </c>
      <c r="C68" s="32">
        <v>0.0</v>
      </c>
      <c r="D68" s="33"/>
      <c r="E68" s="28" t="s">
        <v>215</v>
      </c>
      <c r="F68" s="29"/>
      <c r="G68" s="6" t="s">
        <v>15</v>
      </c>
      <c r="H68" s="29"/>
      <c r="I68" s="29"/>
      <c r="J68" s="5" t="s">
        <v>16</v>
      </c>
      <c r="K68" s="29"/>
      <c r="L68" s="9"/>
      <c r="M68" s="9"/>
      <c r="N68" s="9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31" t="s">
        <v>221</v>
      </c>
      <c r="B69" s="27" t="s">
        <v>222</v>
      </c>
      <c r="C69" s="32">
        <v>0.0</v>
      </c>
      <c r="D69" s="33"/>
      <c r="E69" s="28" t="s">
        <v>218</v>
      </c>
      <c r="F69" s="29"/>
      <c r="G69" s="6" t="s">
        <v>15</v>
      </c>
      <c r="H69" s="29"/>
      <c r="I69" s="29"/>
      <c r="J69" s="5" t="s">
        <v>16</v>
      </c>
      <c r="K69" s="29"/>
      <c r="L69" s="9"/>
      <c r="M69" s="9"/>
      <c r="N69" s="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34" t="s">
        <v>223</v>
      </c>
      <c r="B70" s="27" t="s">
        <v>224</v>
      </c>
      <c r="C70" s="35">
        <v>3.0</v>
      </c>
      <c r="D70" s="27" t="s">
        <v>225</v>
      </c>
      <c r="E70" s="28" t="s">
        <v>226</v>
      </c>
      <c r="F70" s="28">
        <v>1.0</v>
      </c>
      <c r="G70" s="27" t="s">
        <v>15</v>
      </c>
      <c r="H70" s="29"/>
      <c r="I70" s="29"/>
      <c r="J70" s="5" t="s">
        <v>16</v>
      </c>
      <c r="K70" s="29"/>
      <c r="L70" s="9"/>
      <c r="M70" s="9"/>
      <c r="N70" s="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29" t="s">
        <v>227</v>
      </c>
      <c r="B71" s="27" t="s">
        <v>228</v>
      </c>
      <c r="C71" s="36">
        <v>3.0</v>
      </c>
      <c r="D71" s="27" t="s">
        <v>229</v>
      </c>
      <c r="E71" s="28" t="s">
        <v>226</v>
      </c>
      <c r="F71" s="28">
        <v>1.0</v>
      </c>
      <c r="G71" s="27" t="s">
        <v>15</v>
      </c>
      <c r="H71" s="29"/>
      <c r="I71" s="29"/>
      <c r="J71" s="5" t="s">
        <v>16</v>
      </c>
      <c r="K71" s="29"/>
      <c r="L71" s="9"/>
      <c r="M71" s="9"/>
      <c r="N71" s="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28" t="s">
        <v>230</v>
      </c>
      <c r="B72" s="37" t="s">
        <v>189</v>
      </c>
      <c r="C72" s="35">
        <v>2.0</v>
      </c>
      <c r="D72" s="27" t="s">
        <v>190</v>
      </c>
      <c r="E72" s="28" t="s">
        <v>231</v>
      </c>
      <c r="F72" s="28">
        <v>4.0</v>
      </c>
      <c r="G72" s="27" t="s">
        <v>15</v>
      </c>
      <c r="H72" s="29"/>
      <c r="I72" s="29"/>
      <c r="J72" s="5" t="s">
        <v>16</v>
      </c>
      <c r="K72" s="29"/>
      <c r="L72" s="9"/>
      <c r="M72" s="9"/>
      <c r="N72" s="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28" t="s">
        <v>232</v>
      </c>
      <c r="B73" s="37" t="s">
        <v>196</v>
      </c>
      <c r="C73" s="35">
        <v>3.0</v>
      </c>
      <c r="D73" s="27" t="s">
        <v>197</v>
      </c>
      <c r="E73" s="28" t="s">
        <v>231</v>
      </c>
      <c r="F73" s="28">
        <v>2.0</v>
      </c>
      <c r="G73" s="27" t="s">
        <v>15</v>
      </c>
      <c r="H73" s="29"/>
      <c r="I73" s="29"/>
      <c r="J73" s="5" t="s">
        <v>16</v>
      </c>
      <c r="K73" s="29"/>
      <c r="L73" s="9"/>
      <c r="M73" s="9"/>
      <c r="N73" s="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28" t="s">
        <v>233</v>
      </c>
      <c r="B74" s="37" t="s">
        <v>234</v>
      </c>
      <c r="C74" s="35">
        <v>3.0</v>
      </c>
      <c r="D74" s="27" t="s">
        <v>235</v>
      </c>
      <c r="E74" s="28" t="s">
        <v>231</v>
      </c>
      <c r="F74" s="28">
        <v>1.0</v>
      </c>
      <c r="G74" s="27" t="s">
        <v>15</v>
      </c>
      <c r="H74" s="29"/>
      <c r="I74" s="29"/>
      <c r="J74" s="5" t="s">
        <v>16</v>
      </c>
      <c r="K74" s="29"/>
      <c r="L74" s="9"/>
      <c r="M74" s="9"/>
      <c r="N74" s="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28" t="s">
        <v>236</v>
      </c>
      <c r="B75" s="37" t="s">
        <v>237</v>
      </c>
      <c r="C75" s="35">
        <v>3.0</v>
      </c>
      <c r="D75" s="27" t="s">
        <v>238</v>
      </c>
      <c r="E75" s="38" t="s">
        <v>239</v>
      </c>
      <c r="F75" s="28">
        <v>1.0</v>
      </c>
      <c r="G75" s="27"/>
      <c r="H75" s="27" t="s">
        <v>120</v>
      </c>
      <c r="I75" s="29"/>
      <c r="J75" s="5" t="s">
        <v>16</v>
      </c>
      <c r="K75" s="29"/>
      <c r="L75" s="9"/>
      <c r="M75" s="9"/>
      <c r="N75" s="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28" t="s">
        <v>240</v>
      </c>
      <c r="B76" s="27" t="s">
        <v>241</v>
      </c>
      <c r="C76" s="32">
        <v>0.0</v>
      </c>
      <c r="D76" s="27" t="s">
        <v>241</v>
      </c>
      <c r="E76" s="28" t="s">
        <v>240</v>
      </c>
      <c r="F76" s="28">
        <v>1.0</v>
      </c>
      <c r="G76" s="27"/>
      <c r="H76" s="27" t="s">
        <v>242</v>
      </c>
      <c r="I76" s="29"/>
      <c r="J76" s="29"/>
      <c r="K76" s="39" t="s">
        <v>48</v>
      </c>
      <c r="L76" s="9"/>
      <c r="M76" s="9"/>
      <c r="N76" s="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25" t="s">
        <v>243</v>
      </c>
      <c r="B77" s="40" t="s">
        <v>244</v>
      </c>
      <c r="C77" s="32">
        <v>0.0</v>
      </c>
      <c r="D77" s="27" t="s">
        <v>245</v>
      </c>
      <c r="E77" s="28" t="s">
        <v>246</v>
      </c>
      <c r="F77" s="28">
        <v>8.0</v>
      </c>
      <c r="G77" s="27"/>
      <c r="H77" s="29"/>
      <c r="I77" s="5" t="s">
        <v>247</v>
      </c>
      <c r="J77" s="9"/>
      <c r="K77" s="9"/>
      <c r="L77" s="5" t="s">
        <v>248</v>
      </c>
      <c r="M77" s="9"/>
      <c r="N77" s="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10" t="s">
        <v>249</v>
      </c>
      <c r="B78" s="40" t="s">
        <v>250</v>
      </c>
      <c r="C78" s="32">
        <v>0.0</v>
      </c>
      <c r="D78" s="27" t="s">
        <v>34</v>
      </c>
      <c r="E78" s="28" t="s">
        <v>246</v>
      </c>
      <c r="F78" s="28">
        <v>4.0</v>
      </c>
      <c r="G78" s="27"/>
      <c r="H78" s="29"/>
      <c r="I78" s="5" t="s">
        <v>247</v>
      </c>
      <c r="J78" s="9"/>
      <c r="K78" s="9"/>
      <c r="L78" s="5" t="s">
        <v>248</v>
      </c>
      <c r="M78" s="9"/>
      <c r="N78" s="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10" t="s">
        <v>251</v>
      </c>
      <c r="B79" s="40" t="s">
        <v>252</v>
      </c>
      <c r="C79" s="32">
        <v>0.0</v>
      </c>
      <c r="D79" s="27" t="s">
        <v>193</v>
      </c>
      <c r="E79" s="28" t="s">
        <v>246</v>
      </c>
      <c r="F79" s="28">
        <v>2.0</v>
      </c>
      <c r="G79" s="27"/>
      <c r="H79" s="29"/>
      <c r="I79" s="5" t="s">
        <v>247</v>
      </c>
      <c r="J79" s="9"/>
      <c r="K79" s="9"/>
      <c r="L79" s="5" t="s">
        <v>248</v>
      </c>
      <c r="M79" s="9"/>
      <c r="N79" s="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25" t="s">
        <v>253</v>
      </c>
      <c r="B80" s="40" t="s">
        <v>254</v>
      </c>
      <c r="C80" s="32">
        <v>2.0</v>
      </c>
      <c r="D80" s="27" t="s">
        <v>255</v>
      </c>
      <c r="E80" s="28" t="s">
        <v>246</v>
      </c>
      <c r="F80" s="28">
        <v>8.0</v>
      </c>
      <c r="G80" s="27"/>
      <c r="H80" s="29"/>
      <c r="I80" s="5" t="s">
        <v>247</v>
      </c>
      <c r="J80" s="9"/>
      <c r="K80" s="9"/>
      <c r="L80" s="5" t="s">
        <v>248</v>
      </c>
      <c r="M80" s="9"/>
      <c r="N80" s="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25" t="s">
        <v>256</v>
      </c>
      <c r="B81" s="40" t="s">
        <v>257</v>
      </c>
      <c r="C81" s="32">
        <v>2.0</v>
      </c>
      <c r="D81" s="27" t="s">
        <v>258</v>
      </c>
      <c r="E81" s="28" t="s">
        <v>246</v>
      </c>
      <c r="F81" s="28">
        <v>4.0</v>
      </c>
      <c r="G81" s="27"/>
      <c r="H81" s="29"/>
      <c r="I81" s="5" t="s">
        <v>247</v>
      </c>
      <c r="J81" s="9"/>
      <c r="K81" s="9"/>
      <c r="L81" s="5" t="s">
        <v>248</v>
      </c>
      <c r="M81" s="9"/>
      <c r="N81" s="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25" t="s">
        <v>259</v>
      </c>
      <c r="B82" s="40" t="s">
        <v>260</v>
      </c>
      <c r="C82" s="32">
        <v>2.0</v>
      </c>
      <c r="D82" s="27" t="s">
        <v>261</v>
      </c>
      <c r="E82" s="28" t="s">
        <v>246</v>
      </c>
      <c r="F82" s="28">
        <v>6.0</v>
      </c>
      <c r="G82" s="27"/>
      <c r="H82" s="29"/>
      <c r="I82" s="5" t="s">
        <v>247</v>
      </c>
      <c r="J82" s="9"/>
      <c r="K82" s="9"/>
      <c r="L82" s="5" t="s">
        <v>248</v>
      </c>
      <c r="M82" s="9"/>
      <c r="N82" s="9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25" t="s">
        <v>262</v>
      </c>
      <c r="B83" s="40" t="s">
        <v>263</v>
      </c>
      <c r="C83" s="32">
        <v>0.0</v>
      </c>
      <c r="D83" s="27" t="s">
        <v>264</v>
      </c>
      <c r="E83" s="28" t="s">
        <v>265</v>
      </c>
      <c r="F83" s="28">
        <v>32.0</v>
      </c>
      <c r="G83" s="27"/>
      <c r="H83" s="29"/>
      <c r="I83" s="5" t="s">
        <v>266</v>
      </c>
      <c r="J83" s="9"/>
      <c r="K83" s="9"/>
      <c r="L83" s="5" t="s">
        <v>248</v>
      </c>
      <c r="M83" s="5" t="s">
        <v>267</v>
      </c>
      <c r="N83" s="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25" t="s">
        <v>268</v>
      </c>
      <c r="B84" s="40" t="s">
        <v>269</v>
      </c>
      <c r="C84" s="32">
        <v>0.0</v>
      </c>
      <c r="D84" s="27" t="s">
        <v>270</v>
      </c>
      <c r="E84" s="28" t="s">
        <v>265</v>
      </c>
      <c r="F84" s="28">
        <v>32.0</v>
      </c>
      <c r="G84" s="27"/>
      <c r="H84" s="29"/>
      <c r="I84" s="5" t="s">
        <v>266</v>
      </c>
      <c r="J84" s="9"/>
      <c r="K84" s="9"/>
      <c r="L84" s="5" t="s">
        <v>248</v>
      </c>
      <c r="M84" s="9"/>
      <c r="N84" s="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25" t="s">
        <v>271</v>
      </c>
      <c r="B85" s="40" t="s">
        <v>272</v>
      </c>
      <c r="C85" s="32">
        <v>0.0</v>
      </c>
      <c r="D85" s="27" t="s">
        <v>273</v>
      </c>
      <c r="E85" s="28" t="s">
        <v>265</v>
      </c>
      <c r="F85" s="28">
        <v>24.0</v>
      </c>
      <c r="G85" s="27"/>
      <c r="H85" s="29"/>
      <c r="I85" s="5" t="s">
        <v>266</v>
      </c>
      <c r="J85" s="9"/>
      <c r="K85" s="9"/>
      <c r="L85" s="5" t="s">
        <v>248</v>
      </c>
      <c r="M85" s="9"/>
      <c r="N85" s="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25" t="s">
        <v>274</v>
      </c>
      <c r="B86" s="40" t="s">
        <v>275</v>
      </c>
      <c r="C86" s="32">
        <v>0.0</v>
      </c>
      <c r="D86" s="27" t="s">
        <v>276</v>
      </c>
      <c r="E86" s="28" t="s">
        <v>265</v>
      </c>
      <c r="F86" s="28">
        <v>24.0</v>
      </c>
      <c r="G86" s="27"/>
      <c r="H86" s="29"/>
      <c r="I86" s="5" t="s">
        <v>266</v>
      </c>
      <c r="J86" s="9"/>
      <c r="K86" s="9"/>
      <c r="L86" s="5" t="s">
        <v>248</v>
      </c>
      <c r="M86" s="9"/>
      <c r="N86" s="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25" t="s">
        <v>277</v>
      </c>
      <c r="B87" s="40" t="s">
        <v>278</v>
      </c>
      <c r="C87" s="32">
        <v>0.0</v>
      </c>
      <c r="D87" s="27" t="s">
        <v>279</v>
      </c>
      <c r="E87" s="28" t="s">
        <v>265</v>
      </c>
      <c r="F87" s="28">
        <v>24.0</v>
      </c>
      <c r="G87" s="27"/>
      <c r="H87" s="29"/>
      <c r="I87" s="5" t="s">
        <v>266</v>
      </c>
      <c r="J87" s="9"/>
      <c r="K87" s="9"/>
      <c r="L87" s="5" t="s">
        <v>248</v>
      </c>
      <c r="M87" s="9"/>
      <c r="N87" s="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25" t="s">
        <v>280</v>
      </c>
      <c r="B88" s="40" t="s">
        <v>281</v>
      </c>
      <c r="C88" s="32">
        <v>0.0</v>
      </c>
      <c r="D88" s="27" t="s">
        <v>166</v>
      </c>
      <c r="E88" s="28" t="s">
        <v>265</v>
      </c>
      <c r="F88" s="28">
        <v>15.0</v>
      </c>
      <c r="G88" s="27"/>
      <c r="H88" s="29"/>
      <c r="I88" s="5" t="s">
        <v>266</v>
      </c>
      <c r="J88" s="9"/>
      <c r="K88" s="9"/>
      <c r="L88" s="5" t="s">
        <v>248</v>
      </c>
      <c r="M88" s="9"/>
      <c r="N88" s="9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25" t="s">
        <v>282</v>
      </c>
      <c r="B89" s="40" t="s">
        <v>283</v>
      </c>
      <c r="C89" s="32">
        <v>0.0</v>
      </c>
      <c r="D89" s="27" t="s">
        <v>142</v>
      </c>
      <c r="E89" s="28" t="s">
        <v>265</v>
      </c>
      <c r="F89" s="28">
        <v>12.0</v>
      </c>
      <c r="G89" s="27"/>
      <c r="H89" s="29"/>
      <c r="I89" s="5" t="s">
        <v>266</v>
      </c>
      <c r="J89" s="9"/>
      <c r="K89" s="9"/>
      <c r="L89" s="5" t="s">
        <v>248</v>
      </c>
      <c r="M89" s="9"/>
      <c r="N89" s="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18" t="s">
        <v>284</v>
      </c>
      <c r="B90" s="6" t="s">
        <v>285</v>
      </c>
      <c r="C90" s="32">
        <v>0.0</v>
      </c>
      <c r="D90" s="27" t="s">
        <v>286</v>
      </c>
      <c r="E90" s="28" t="s">
        <v>265</v>
      </c>
      <c r="F90" s="28">
        <v>15.0</v>
      </c>
      <c r="G90" s="27"/>
      <c r="H90" s="29"/>
      <c r="I90" s="5" t="s">
        <v>266</v>
      </c>
      <c r="J90" s="9"/>
      <c r="K90" s="9"/>
      <c r="L90" s="5" t="s">
        <v>248</v>
      </c>
      <c r="M90" s="9"/>
      <c r="N90" s="9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18" t="s">
        <v>24</v>
      </c>
      <c r="B91" s="6" t="s">
        <v>287</v>
      </c>
      <c r="C91" s="32">
        <v>0.0</v>
      </c>
      <c r="D91" s="27" t="s">
        <v>25</v>
      </c>
      <c r="E91" s="28" t="s">
        <v>265</v>
      </c>
      <c r="F91" s="28">
        <v>6.0</v>
      </c>
      <c r="G91" s="27"/>
      <c r="H91" s="29"/>
      <c r="I91" s="5" t="s">
        <v>266</v>
      </c>
      <c r="J91" s="9"/>
      <c r="K91" s="9"/>
      <c r="L91" s="5" t="s">
        <v>248</v>
      </c>
      <c r="M91" s="9"/>
      <c r="N91" s="9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18" t="s">
        <v>288</v>
      </c>
      <c r="B92" s="6" t="s">
        <v>289</v>
      </c>
      <c r="C92" s="32">
        <v>0.0</v>
      </c>
      <c r="D92" s="27" t="s">
        <v>290</v>
      </c>
      <c r="E92" s="28" t="s">
        <v>265</v>
      </c>
      <c r="F92" s="28">
        <v>8.0</v>
      </c>
      <c r="G92" s="27"/>
      <c r="H92" s="29"/>
      <c r="I92" s="5" t="s">
        <v>266</v>
      </c>
      <c r="J92" s="9"/>
      <c r="K92" s="9"/>
      <c r="L92" s="5" t="s">
        <v>248</v>
      </c>
      <c r="M92" s="9"/>
      <c r="N92" s="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20" t="s">
        <v>291</v>
      </c>
      <c r="B93" s="6" t="s">
        <v>292</v>
      </c>
      <c r="C93" s="32">
        <v>0.0</v>
      </c>
      <c r="D93" s="27" t="s">
        <v>293</v>
      </c>
      <c r="E93" s="28" t="s">
        <v>294</v>
      </c>
      <c r="F93" s="28">
        <v>16.0</v>
      </c>
      <c r="H93" s="29"/>
      <c r="I93" s="41" t="s">
        <v>295</v>
      </c>
      <c r="J93" s="5" t="s">
        <v>16</v>
      </c>
      <c r="K93" s="9"/>
      <c r="L93" s="5"/>
      <c r="M93" s="5" t="s">
        <v>296</v>
      </c>
      <c r="N93" s="9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34" t="s">
        <v>297</v>
      </c>
      <c r="B94" s="37" t="s">
        <v>298</v>
      </c>
      <c r="C94" s="42">
        <v>2.0</v>
      </c>
      <c r="D94" s="27" t="s">
        <v>299</v>
      </c>
      <c r="E94" s="28" t="s">
        <v>300</v>
      </c>
      <c r="F94" s="28">
        <v>4.0</v>
      </c>
      <c r="G94" s="27" t="s">
        <v>15</v>
      </c>
      <c r="H94" s="29"/>
      <c r="I94" s="9"/>
      <c r="J94" s="5" t="s">
        <v>16</v>
      </c>
      <c r="K94" s="9"/>
      <c r="L94" s="5"/>
      <c r="M94" s="9"/>
      <c r="N94" s="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34" t="s">
        <v>301</v>
      </c>
      <c r="B95" s="37" t="s">
        <v>302</v>
      </c>
      <c r="C95" s="42">
        <v>2.0</v>
      </c>
      <c r="D95" s="27" t="s">
        <v>303</v>
      </c>
      <c r="E95" s="28" t="s">
        <v>300</v>
      </c>
      <c r="F95" s="28">
        <v>4.0</v>
      </c>
      <c r="G95" s="27" t="s">
        <v>15</v>
      </c>
      <c r="H95" s="29"/>
      <c r="I95" s="9"/>
      <c r="J95" s="5" t="s">
        <v>16</v>
      </c>
      <c r="K95" s="9"/>
      <c r="L95" s="9"/>
      <c r="M95" s="9"/>
      <c r="N95" s="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3" t="s">
        <v>304</v>
      </c>
      <c r="B96" s="37" t="s">
        <v>305</v>
      </c>
      <c r="C96" s="32">
        <v>2.0</v>
      </c>
      <c r="D96" s="27" t="s">
        <v>306</v>
      </c>
      <c r="E96" s="41" t="s">
        <v>307</v>
      </c>
      <c r="F96" s="28">
        <v>12.0</v>
      </c>
      <c r="G96" s="27" t="s">
        <v>15</v>
      </c>
      <c r="H96" s="29"/>
      <c r="I96" s="9"/>
      <c r="J96" s="5" t="s">
        <v>16</v>
      </c>
      <c r="K96" s="9"/>
      <c r="L96" s="9"/>
      <c r="M96" s="9"/>
      <c r="N96" s="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3" t="s">
        <v>308</v>
      </c>
      <c r="B97" s="37" t="s">
        <v>309</v>
      </c>
      <c r="C97" s="32">
        <v>2.0</v>
      </c>
      <c r="D97" s="27" t="s">
        <v>310</v>
      </c>
      <c r="E97" s="41" t="s">
        <v>307</v>
      </c>
      <c r="F97" s="28">
        <v>12.0</v>
      </c>
      <c r="G97" s="27" t="s">
        <v>15</v>
      </c>
      <c r="H97" s="29"/>
      <c r="I97" s="9"/>
      <c r="J97" s="5" t="s">
        <v>16</v>
      </c>
      <c r="K97" s="9"/>
      <c r="L97" s="9"/>
      <c r="M97" s="9"/>
      <c r="N97" s="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34" t="s">
        <v>311</v>
      </c>
      <c r="B98" s="37" t="s">
        <v>312</v>
      </c>
      <c r="C98" s="42">
        <v>2.0</v>
      </c>
      <c r="D98" s="27" t="s">
        <v>313</v>
      </c>
      <c r="E98" s="28" t="s">
        <v>314</v>
      </c>
      <c r="F98" s="28">
        <v>6.0</v>
      </c>
      <c r="G98" s="27" t="s">
        <v>15</v>
      </c>
      <c r="H98" s="29"/>
      <c r="I98" s="9"/>
      <c r="J98" s="5" t="s">
        <v>16</v>
      </c>
      <c r="K98" s="9"/>
      <c r="L98" s="9"/>
      <c r="M98" s="9"/>
      <c r="N98" s="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34" t="s">
        <v>315</v>
      </c>
      <c r="B99" s="37" t="s">
        <v>316</v>
      </c>
      <c r="C99" s="42">
        <v>2.0</v>
      </c>
      <c r="D99" s="27" t="s">
        <v>317</v>
      </c>
      <c r="E99" s="28" t="s">
        <v>314</v>
      </c>
      <c r="F99" s="28">
        <v>4.0</v>
      </c>
      <c r="G99" s="27" t="s">
        <v>15</v>
      </c>
      <c r="H99" s="29"/>
      <c r="I99" s="9"/>
      <c r="J99" s="5" t="s">
        <v>16</v>
      </c>
      <c r="K99" s="9"/>
      <c r="L99" s="9"/>
      <c r="M99" s="9"/>
      <c r="N99" s="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1" t="s">
        <v>33</v>
      </c>
      <c r="B100" s="27" t="s">
        <v>250</v>
      </c>
      <c r="C100" s="32">
        <v>2.0</v>
      </c>
      <c r="D100" s="27" t="s">
        <v>186</v>
      </c>
      <c r="E100" s="28" t="s">
        <v>314</v>
      </c>
      <c r="F100" s="28">
        <v>4.0</v>
      </c>
      <c r="G100" s="27" t="s">
        <v>15</v>
      </c>
      <c r="H100" s="29"/>
      <c r="I100" s="9"/>
      <c r="J100" s="5" t="s">
        <v>16</v>
      </c>
      <c r="K100" s="9"/>
      <c r="L100" s="9"/>
      <c r="M100" s="9"/>
      <c r="N100" s="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1" t="s">
        <v>318</v>
      </c>
      <c r="B101" s="27" t="s">
        <v>319</v>
      </c>
      <c r="C101" s="32">
        <v>2.0</v>
      </c>
      <c r="D101" s="27" t="s">
        <v>320</v>
      </c>
      <c r="E101" s="28" t="s">
        <v>314</v>
      </c>
      <c r="F101" s="28">
        <v>3.0</v>
      </c>
      <c r="G101" s="27" t="s">
        <v>15</v>
      </c>
      <c r="H101" s="29"/>
      <c r="I101" s="9"/>
      <c r="J101" s="5" t="s">
        <v>16</v>
      </c>
      <c r="K101" s="9"/>
      <c r="L101" s="9"/>
      <c r="M101" s="9"/>
      <c r="N101" s="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34" t="s">
        <v>321</v>
      </c>
      <c r="B102" s="37" t="s">
        <v>252</v>
      </c>
      <c r="C102" s="32">
        <v>2.0</v>
      </c>
      <c r="D102" s="27" t="s">
        <v>322</v>
      </c>
      <c r="E102" s="28" t="s">
        <v>323</v>
      </c>
      <c r="F102" s="28">
        <v>2.0</v>
      </c>
      <c r="G102" s="27" t="s">
        <v>15</v>
      </c>
      <c r="H102" s="29"/>
      <c r="I102" s="9"/>
      <c r="J102" s="5" t="s">
        <v>16</v>
      </c>
      <c r="K102" s="9"/>
      <c r="L102" s="9"/>
      <c r="M102" s="9"/>
      <c r="N102" s="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34" t="s">
        <v>324</v>
      </c>
      <c r="B103" s="37" t="s">
        <v>325</v>
      </c>
      <c r="C103" s="44">
        <v>2.0</v>
      </c>
      <c r="D103" s="8" t="s">
        <v>326</v>
      </c>
      <c r="E103" s="28" t="s">
        <v>323</v>
      </c>
      <c r="F103" s="44">
        <v>1.0</v>
      </c>
      <c r="G103" s="27" t="s">
        <v>15</v>
      </c>
      <c r="H103" s="29"/>
      <c r="I103" s="9"/>
      <c r="J103" s="5" t="s">
        <v>16</v>
      </c>
      <c r="K103" s="9"/>
      <c r="L103" s="9"/>
      <c r="M103" s="9"/>
      <c r="N103" s="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34" t="s">
        <v>327</v>
      </c>
      <c r="B104" s="37" t="s">
        <v>328</v>
      </c>
      <c r="C104" s="44">
        <v>2.0</v>
      </c>
      <c r="D104" s="8" t="s">
        <v>329</v>
      </c>
      <c r="E104" s="28" t="s">
        <v>323</v>
      </c>
      <c r="F104" s="44">
        <v>1.0</v>
      </c>
      <c r="G104" s="27" t="s">
        <v>15</v>
      </c>
      <c r="H104" s="29"/>
      <c r="I104" s="9"/>
      <c r="J104" s="5" t="s">
        <v>16</v>
      </c>
      <c r="K104" s="9"/>
      <c r="L104" s="9"/>
      <c r="M104" s="9"/>
      <c r="N104" s="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1" t="s">
        <v>330</v>
      </c>
      <c r="B105" s="27" t="s">
        <v>331</v>
      </c>
      <c r="C105" s="44">
        <v>2.0</v>
      </c>
      <c r="D105" s="8" t="s">
        <v>332</v>
      </c>
      <c r="E105" s="7" t="s">
        <v>333</v>
      </c>
      <c r="F105" s="44">
        <v>1.0</v>
      </c>
      <c r="G105" s="45"/>
      <c r="H105" s="27" t="s">
        <v>120</v>
      </c>
      <c r="I105" s="9"/>
      <c r="J105" s="5" t="s">
        <v>16</v>
      </c>
      <c r="K105" s="9"/>
      <c r="L105" s="9"/>
      <c r="M105" s="9"/>
      <c r="N105" s="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6"/>
      <c r="B106" s="46"/>
      <c r="C106" s="46"/>
      <c r="D106" s="46"/>
      <c r="E106" s="47"/>
      <c r="F106" s="48"/>
      <c r="G106" s="49"/>
      <c r="H106" s="9"/>
      <c r="I106" s="9"/>
      <c r="J106" s="9"/>
      <c r="K106" s="9"/>
      <c r="L106" s="9"/>
      <c r="M106" s="9"/>
      <c r="N106" s="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6"/>
      <c r="B107" s="46"/>
      <c r="C107" s="46"/>
      <c r="D107" s="46"/>
      <c r="E107" s="47"/>
      <c r="F107" s="48"/>
      <c r="G107" s="49"/>
      <c r="H107" s="9"/>
      <c r="I107" s="9"/>
      <c r="J107" s="9"/>
      <c r="K107" s="9"/>
      <c r="L107" s="9"/>
      <c r="M107" s="9"/>
      <c r="N107" s="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6"/>
      <c r="B108" s="46"/>
      <c r="C108" s="46"/>
      <c r="D108" s="46"/>
      <c r="E108" s="47"/>
      <c r="F108" s="48"/>
      <c r="G108" s="49"/>
      <c r="H108" s="9"/>
      <c r="I108" s="9"/>
      <c r="J108" s="9"/>
      <c r="K108" s="9"/>
      <c r="L108" s="9"/>
      <c r="M108" s="9"/>
      <c r="N108" s="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6"/>
      <c r="B109" s="46"/>
      <c r="C109" s="46"/>
      <c r="D109" s="46"/>
      <c r="E109" s="47"/>
      <c r="F109" s="48"/>
      <c r="G109" s="49"/>
      <c r="H109" s="9"/>
      <c r="I109" s="9"/>
      <c r="J109" s="9"/>
      <c r="K109" s="9"/>
      <c r="L109" s="9"/>
      <c r="M109" s="9"/>
      <c r="N109" s="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6"/>
      <c r="B110" s="46"/>
      <c r="C110" s="46"/>
      <c r="D110" s="46"/>
      <c r="E110" s="47"/>
      <c r="F110" s="48"/>
      <c r="G110" s="49"/>
      <c r="H110" s="9"/>
      <c r="I110" s="9"/>
      <c r="J110" s="9"/>
      <c r="K110" s="9"/>
      <c r="L110" s="9"/>
      <c r="M110" s="9"/>
      <c r="N110" s="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6"/>
      <c r="B111" s="46"/>
      <c r="C111" s="46"/>
      <c r="D111" s="46"/>
      <c r="E111" s="47"/>
      <c r="F111" s="48"/>
      <c r="G111" s="49"/>
      <c r="H111" s="9"/>
      <c r="I111" s="9"/>
      <c r="J111" s="9"/>
      <c r="K111" s="9"/>
      <c r="L111" s="9"/>
      <c r="M111" s="9"/>
      <c r="N111" s="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6"/>
      <c r="B112" s="46"/>
      <c r="C112" s="47"/>
      <c r="D112" s="47"/>
      <c r="E112" s="47"/>
      <c r="F112" s="47"/>
      <c r="G112" s="49"/>
      <c r="H112" s="9"/>
      <c r="I112" s="9"/>
      <c r="J112" s="9"/>
      <c r="K112" s="9"/>
      <c r="L112" s="9"/>
      <c r="M112" s="9"/>
      <c r="N112" s="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6"/>
      <c r="B113" s="46"/>
      <c r="C113" s="47"/>
      <c r="D113" s="47"/>
      <c r="E113" s="47"/>
      <c r="F113" s="47"/>
      <c r="G113" s="49"/>
      <c r="H113" s="9"/>
      <c r="I113" s="9"/>
      <c r="J113" s="9"/>
      <c r="K113" s="9"/>
      <c r="L113" s="9"/>
      <c r="M113" s="9"/>
      <c r="N113" s="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6"/>
      <c r="B114" s="46"/>
      <c r="C114" s="46"/>
      <c r="D114" s="46"/>
      <c r="E114" s="47"/>
      <c r="F114" s="48"/>
      <c r="G114" s="49"/>
      <c r="H114" s="9"/>
      <c r="I114" s="9"/>
      <c r="J114" s="9"/>
      <c r="K114" s="9"/>
      <c r="L114" s="9"/>
      <c r="M114" s="9"/>
      <c r="N114" s="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6"/>
      <c r="B115" s="46"/>
      <c r="C115" s="46"/>
      <c r="D115" s="46"/>
      <c r="E115" s="47"/>
      <c r="F115" s="48"/>
      <c r="G115" s="49"/>
      <c r="H115" s="9"/>
      <c r="I115" s="9"/>
      <c r="J115" s="9"/>
      <c r="K115" s="9"/>
      <c r="L115" s="9"/>
      <c r="M115" s="9"/>
      <c r="N115" s="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6"/>
      <c r="B116" s="46"/>
      <c r="C116" s="46"/>
      <c r="D116" s="46"/>
      <c r="E116" s="47"/>
      <c r="F116" s="48"/>
      <c r="G116" s="49"/>
      <c r="H116" s="9"/>
      <c r="I116" s="9"/>
      <c r="J116" s="9"/>
      <c r="K116" s="9"/>
      <c r="L116" s="9"/>
      <c r="M116" s="9"/>
      <c r="N116" s="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6"/>
      <c r="B117" s="46"/>
      <c r="C117" s="46"/>
      <c r="D117" s="46"/>
      <c r="E117" s="47"/>
      <c r="F117" s="48"/>
      <c r="G117" s="49"/>
      <c r="H117" s="9"/>
      <c r="I117" s="9"/>
      <c r="J117" s="9"/>
      <c r="K117" s="9"/>
      <c r="L117" s="9"/>
      <c r="M117" s="9"/>
      <c r="N117" s="9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6"/>
      <c r="B118" s="46"/>
      <c r="C118" s="46"/>
      <c r="D118" s="46"/>
      <c r="E118" s="47"/>
      <c r="F118" s="48"/>
      <c r="G118" s="49"/>
      <c r="H118" s="9"/>
      <c r="I118" s="9"/>
      <c r="J118" s="9"/>
      <c r="K118" s="9"/>
      <c r="L118" s="9"/>
      <c r="M118" s="9"/>
      <c r="N118" s="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6"/>
      <c r="B119" s="46"/>
      <c r="C119" s="46"/>
      <c r="D119" s="46"/>
      <c r="E119" s="47"/>
      <c r="F119" s="48"/>
      <c r="G119" s="49"/>
      <c r="H119" s="9"/>
      <c r="I119" s="9"/>
      <c r="J119" s="9"/>
      <c r="K119" s="9"/>
      <c r="L119" s="9"/>
      <c r="M119" s="9"/>
      <c r="N119" s="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6"/>
      <c r="B120" s="46"/>
      <c r="C120" s="46"/>
      <c r="D120" s="46"/>
      <c r="E120" s="47"/>
      <c r="F120" s="48"/>
      <c r="G120" s="49"/>
      <c r="H120" s="9"/>
      <c r="I120" s="9"/>
      <c r="J120" s="9"/>
      <c r="K120" s="9"/>
      <c r="L120" s="9"/>
      <c r="M120" s="9"/>
      <c r="N120" s="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9"/>
      <c r="B121" s="9"/>
      <c r="C121" s="9"/>
      <c r="D121" s="9"/>
      <c r="E121" s="9"/>
      <c r="F121" s="9"/>
      <c r="G121" s="50"/>
      <c r="H121" s="9"/>
      <c r="I121" s="9"/>
      <c r="J121" s="9"/>
      <c r="K121" s="9"/>
      <c r="L121" s="9"/>
      <c r="M121" s="9"/>
      <c r="N121" s="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9"/>
      <c r="B122" s="9"/>
      <c r="C122" s="9"/>
      <c r="D122" s="9"/>
      <c r="E122" s="9"/>
      <c r="F122" s="9"/>
      <c r="G122" s="50"/>
      <c r="H122" s="9"/>
      <c r="I122" s="9"/>
      <c r="J122" s="9"/>
      <c r="K122" s="9"/>
      <c r="L122" s="9"/>
      <c r="M122" s="9"/>
      <c r="N122" s="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51"/>
      <c r="B123" s="51"/>
      <c r="C123" s="5"/>
      <c r="D123" s="5"/>
      <c r="E123" s="11"/>
      <c r="F123" s="11"/>
      <c r="G123" s="50"/>
      <c r="H123" s="9"/>
      <c r="I123" s="9"/>
      <c r="J123" s="9"/>
      <c r="K123" s="9"/>
      <c r="L123" s="9"/>
      <c r="M123" s="9"/>
      <c r="N123" s="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51"/>
      <c r="B124" s="51"/>
      <c r="C124" s="5"/>
      <c r="D124" s="5"/>
      <c r="E124" s="11"/>
      <c r="F124" s="11"/>
      <c r="G124" s="50"/>
      <c r="H124" s="9"/>
      <c r="I124" s="9"/>
      <c r="J124" s="9"/>
      <c r="K124" s="9"/>
      <c r="L124" s="9"/>
      <c r="M124" s="9"/>
      <c r="N124" s="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9"/>
      <c r="B125" s="9"/>
      <c r="C125" s="9"/>
      <c r="D125" s="9"/>
      <c r="E125" s="9"/>
      <c r="F125" s="9"/>
      <c r="G125" s="50"/>
      <c r="H125" s="9"/>
      <c r="I125" s="9"/>
      <c r="J125" s="9"/>
      <c r="K125" s="9"/>
      <c r="L125" s="9"/>
      <c r="M125" s="9"/>
      <c r="N125" s="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5"/>
      <c r="B126" s="5"/>
      <c r="C126" s="5"/>
      <c r="D126" s="5"/>
      <c r="E126" s="11"/>
      <c r="F126" s="9"/>
      <c r="G126" s="50"/>
      <c r="H126" s="5"/>
      <c r="I126" s="5"/>
      <c r="J126" s="5">
        <v>0.0</v>
      </c>
      <c r="K126" s="9"/>
      <c r="L126" s="9"/>
      <c r="M126" s="9"/>
      <c r="N126" s="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9"/>
      <c r="B127" s="9"/>
      <c r="C127" s="9"/>
      <c r="D127" s="9"/>
      <c r="E127" s="9"/>
      <c r="F127" s="9"/>
      <c r="G127" s="50"/>
      <c r="H127" s="9"/>
      <c r="I127" s="9"/>
      <c r="J127" s="9"/>
      <c r="K127" s="9"/>
      <c r="L127" s="9"/>
      <c r="M127" s="9"/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9"/>
      <c r="B128" s="9"/>
      <c r="C128" s="9"/>
      <c r="D128" s="9"/>
      <c r="E128" s="9"/>
      <c r="F128" s="9"/>
      <c r="G128" s="50"/>
      <c r="H128" s="9"/>
      <c r="I128" s="9"/>
      <c r="J128" s="9"/>
      <c r="K128" s="9"/>
      <c r="L128" s="9"/>
      <c r="M128" s="9"/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9"/>
      <c r="B129" s="9"/>
      <c r="C129" s="9"/>
      <c r="D129" s="9"/>
      <c r="E129" s="9"/>
      <c r="F129" s="9"/>
      <c r="G129" s="50"/>
      <c r="H129" s="9"/>
      <c r="I129" s="9"/>
      <c r="J129" s="9"/>
      <c r="K129" s="9"/>
      <c r="L129" s="9"/>
      <c r="M129" s="9"/>
      <c r="N129" s="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9"/>
      <c r="B130" s="9"/>
      <c r="C130" s="9"/>
      <c r="D130" s="9"/>
      <c r="E130" s="9"/>
      <c r="F130" s="9"/>
      <c r="G130" s="50"/>
      <c r="H130" s="9"/>
      <c r="I130" s="9"/>
      <c r="J130" s="9"/>
      <c r="K130" s="9"/>
      <c r="L130" s="9"/>
      <c r="M130" s="9"/>
      <c r="N130" s="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9"/>
      <c r="B131" s="9"/>
      <c r="C131" s="9"/>
      <c r="D131" s="9"/>
      <c r="E131" s="9"/>
      <c r="F131" s="9"/>
      <c r="G131" s="50"/>
      <c r="H131" s="9"/>
      <c r="I131" s="9"/>
      <c r="J131" s="9"/>
      <c r="K131" s="9"/>
      <c r="L131" s="9"/>
      <c r="M131" s="9"/>
      <c r="N131" s="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9"/>
      <c r="B132" s="9"/>
      <c r="C132" s="9"/>
      <c r="D132" s="9"/>
      <c r="E132" s="9"/>
      <c r="F132" s="9"/>
      <c r="G132" s="50"/>
      <c r="H132" s="9"/>
      <c r="I132" s="9"/>
      <c r="J132" s="9"/>
      <c r="K132" s="9"/>
      <c r="L132" s="9"/>
      <c r="M132" s="9"/>
      <c r="N132" s="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9"/>
      <c r="B133" s="9"/>
      <c r="C133" s="9"/>
      <c r="D133" s="9"/>
      <c r="E133" s="9"/>
      <c r="F133" s="9"/>
      <c r="G133" s="50"/>
      <c r="H133" s="9"/>
      <c r="I133" s="9"/>
      <c r="J133" s="9"/>
      <c r="K133" s="9"/>
      <c r="L133" s="9"/>
      <c r="M133" s="9"/>
      <c r="N133" s="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9"/>
      <c r="B134" s="9"/>
      <c r="C134" s="9"/>
      <c r="D134" s="9"/>
      <c r="E134" s="9"/>
      <c r="F134" s="9"/>
      <c r="G134" s="50"/>
      <c r="H134" s="9"/>
      <c r="I134" s="9"/>
      <c r="J134" s="9"/>
      <c r="K134" s="9"/>
      <c r="L134" s="9"/>
      <c r="M134" s="9"/>
      <c r="N134" s="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9"/>
      <c r="B135" s="9"/>
      <c r="C135" s="9"/>
      <c r="D135" s="9"/>
      <c r="E135" s="9"/>
      <c r="F135" s="9"/>
      <c r="G135" s="50"/>
      <c r="H135" s="9"/>
      <c r="I135" s="9"/>
      <c r="J135" s="9"/>
      <c r="K135" s="9"/>
      <c r="L135" s="9"/>
      <c r="M135" s="9"/>
      <c r="N135" s="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9"/>
      <c r="B136" s="9"/>
      <c r="C136" s="9"/>
      <c r="D136" s="9"/>
      <c r="E136" s="9"/>
      <c r="F136" s="9"/>
      <c r="G136" s="50"/>
      <c r="H136" s="9"/>
      <c r="I136" s="9"/>
      <c r="J136" s="9"/>
      <c r="K136" s="9"/>
      <c r="L136" s="9"/>
      <c r="M136" s="9"/>
      <c r="N136" s="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9"/>
      <c r="B137" s="9"/>
      <c r="C137" s="9"/>
      <c r="D137" s="9"/>
      <c r="E137" s="9"/>
      <c r="F137" s="9"/>
      <c r="G137" s="50"/>
      <c r="H137" s="9"/>
      <c r="I137" s="9"/>
      <c r="J137" s="9"/>
      <c r="K137" s="9"/>
      <c r="L137" s="9"/>
      <c r="M137" s="9"/>
      <c r="N137" s="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9"/>
      <c r="B138" s="9"/>
      <c r="C138" s="9"/>
      <c r="D138" s="9"/>
      <c r="E138" s="9"/>
      <c r="F138" s="9"/>
      <c r="G138" s="50"/>
      <c r="H138" s="9"/>
      <c r="I138" s="9"/>
      <c r="J138" s="9"/>
      <c r="K138" s="9"/>
      <c r="L138" s="9"/>
      <c r="M138" s="9"/>
      <c r="N138" s="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9"/>
      <c r="B139" s="9"/>
      <c r="C139" s="9"/>
      <c r="D139" s="9"/>
      <c r="E139" s="9"/>
      <c r="F139" s="9"/>
      <c r="G139" s="50"/>
      <c r="H139" s="9"/>
      <c r="I139" s="9"/>
      <c r="J139" s="9"/>
      <c r="K139" s="9"/>
      <c r="L139" s="9"/>
      <c r="M139" s="9"/>
      <c r="N139" s="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9"/>
      <c r="B140" s="9"/>
      <c r="C140" s="9"/>
      <c r="D140" s="9"/>
      <c r="E140" s="9"/>
      <c r="F140" s="9"/>
      <c r="G140" s="50"/>
      <c r="H140" s="9"/>
      <c r="I140" s="9"/>
      <c r="J140" s="9"/>
      <c r="K140" s="9"/>
      <c r="L140" s="9"/>
      <c r="M140" s="9"/>
      <c r="N140" s="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9"/>
      <c r="B141" s="9"/>
      <c r="C141" s="9"/>
      <c r="D141" s="9"/>
      <c r="E141" s="9"/>
      <c r="F141" s="9"/>
      <c r="G141" s="50"/>
      <c r="H141" s="9"/>
      <c r="I141" s="9"/>
      <c r="J141" s="9"/>
      <c r="K141" s="9"/>
      <c r="L141" s="9"/>
      <c r="M141" s="9"/>
      <c r="N141" s="9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9"/>
      <c r="B142" s="9"/>
      <c r="C142" s="9"/>
      <c r="D142" s="9"/>
      <c r="E142" s="9"/>
      <c r="F142" s="9"/>
      <c r="G142" s="50"/>
      <c r="H142" s="9"/>
      <c r="I142" s="9"/>
      <c r="J142" s="9"/>
      <c r="K142" s="9"/>
      <c r="L142" s="9"/>
      <c r="M142" s="9"/>
      <c r="N142" s="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9"/>
      <c r="B143" s="9"/>
      <c r="C143" s="9"/>
      <c r="D143" s="9"/>
      <c r="E143" s="9"/>
      <c r="F143" s="9"/>
      <c r="G143" s="50"/>
      <c r="H143" s="9"/>
      <c r="I143" s="9"/>
      <c r="J143" s="9"/>
      <c r="K143" s="9"/>
      <c r="L143" s="9"/>
      <c r="M143" s="9"/>
      <c r="N143" s="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9"/>
      <c r="B144" s="9"/>
      <c r="C144" s="9"/>
      <c r="D144" s="9"/>
      <c r="E144" s="9"/>
      <c r="F144" s="9"/>
      <c r="G144" s="50"/>
      <c r="H144" s="9"/>
      <c r="I144" s="9"/>
      <c r="J144" s="9"/>
      <c r="K144" s="9"/>
      <c r="L144" s="9"/>
      <c r="M144" s="9"/>
      <c r="N144" s="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9"/>
      <c r="B145" s="9"/>
      <c r="C145" s="9"/>
      <c r="D145" s="9"/>
      <c r="E145" s="9"/>
      <c r="F145" s="9"/>
      <c r="G145" s="50"/>
      <c r="H145" s="9"/>
      <c r="I145" s="9"/>
      <c r="J145" s="9"/>
      <c r="K145" s="9"/>
      <c r="L145" s="9"/>
      <c r="M145" s="9"/>
      <c r="N145" s="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9"/>
      <c r="B146" s="9"/>
      <c r="C146" s="9"/>
      <c r="D146" s="9"/>
      <c r="E146" s="9"/>
      <c r="F146" s="9"/>
      <c r="G146" s="50"/>
      <c r="H146" s="9"/>
      <c r="I146" s="9"/>
      <c r="J146" s="9"/>
      <c r="K146" s="9"/>
      <c r="L146" s="9"/>
      <c r="M146" s="9"/>
      <c r="N146" s="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9"/>
      <c r="B147" s="9"/>
      <c r="C147" s="9"/>
      <c r="D147" s="9"/>
      <c r="E147" s="9"/>
      <c r="F147" s="9"/>
      <c r="G147" s="50"/>
      <c r="H147" s="9"/>
      <c r="I147" s="9"/>
      <c r="J147" s="9"/>
      <c r="K147" s="9"/>
      <c r="L147" s="9"/>
      <c r="M147" s="9"/>
      <c r="N147" s="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9"/>
      <c r="B148" s="9"/>
      <c r="C148" s="9"/>
      <c r="D148" s="9"/>
      <c r="E148" s="9"/>
      <c r="F148" s="9"/>
      <c r="G148" s="50"/>
      <c r="H148" s="9"/>
      <c r="I148" s="9"/>
      <c r="J148" s="9"/>
      <c r="K148" s="9"/>
      <c r="L148" s="9"/>
      <c r="M148" s="9"/>
      <c r="N148" s="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9"/>
      <c r="B149" s="9"/>
      <c r="C149" s="9"/>
      <c r="D149" s="9"/>
      <c r="E149" s="9"/>
      <c r="F149" s="9"/>
      <c r="G149" s="50"/>
      <c r="H149" s="9"/>
      <c r="I149" s="9"/>
      <c r="J149" s="9"/>
      <c r="K149" s="9"/>
      <c r="L149" s="9"/>
      <c r="M149" s="9"/>
      <c r="N149" s="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9"/>
      <c r="B150" s="9"/>
      <c r="C150" s="9"/>
      <c r="D150" s="9"/>
      <c r="E150" s="9"/>
      <c r="F150" s="9"/>
      <c r="G150" s="50"/>
      <c r="H150" s="9"/>
      <c r="I150" s="9"/>
      <c r="J150" s="9"/>
      <c r="K150" s="9"/>
      <c r="L150" s="9"/>
      <c r="M150" s="9"/>
      <c r="N150" s="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9"/>
      <c r="B151" s="9"/>
      <c r="C151" s="9"/>
      <c r="D151" s="9"/>
      <c r="E151" s="9"/>
      <c r="F151" s="9"/>
      <c r="G151" s="50"/>
      <c r="H151" s="9"/>
      <c r="I151" s="9"/>
      <c r="J151" s="9"/>
      <c r="K151" s="9"/>
      <c r="L151" s="9"/>
      <c r="M151" s="52"/>
      <c r="N151" s="5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9"/>
      <c r="B152" s="9"/>
      <c r="C152" s="9"/>
      <c r="D152" s="9"/>
      <c r="E152" s="9"/>
      <c r="F152" s="9"/>
      <c r="G152" s="50"/>
      <c r="H152" s="9"/>
      <c r="I152" s="9"/>
      <c r="J152" s="9"/>
      <c r="K152" s="9"/>
      <c r="L152" s="9"/>
      <c r="M152" s="52"/>
      <c r="N152" s="5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9"/>
      <c r="B153" s="9"/>
      <c r="C153" s="9"/>
      <c r="D153" s="9"/>
      <c r="E153" s="9"/>
      <c r="F153" s="9"/>
      <c r="G153" s="50"/>
      <c r="H153" s="9"/>
      <c r="I153" s="9"/>
      <c r="J153" s="9"/>
      <c r="K153" s="9"/>
      <c r="L153" s="9"/>
      <c r="M153" s="52"/>
      <c r="N153" s="5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9"/>
      <c r="B154" s="9"/>
      <c r="C154" s="9"/>
      <c r="D154" s="9"/>
      <c r="E154" s="9"/>
      <c r="F154" s="9"/>
      <c r="G154" s="50"/>
      <c r="H154" s="9"/>
      <c r="I154" s="9"/>
      <c r="J154" s="9"/>
      <c r="K154" s="9"/>
      <c r="L154" s="9"/>
      <c r="M154" s="52"/>
      <c r="N154" s="5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9"/>
      <c r="B155" s="9"/>
      <c r="C155" s="9"/>
      <c r="D155" s="9"/>
      <c r="E155" s="9"/>
      <c r="F155" s="9"/>
      <c r="G155" s="50"/>
      <c r="H155" s="9"/>
      <c r="I155" s="9"/>
      <c r="J155" s="9"/>
      <c r="K155" s="9"/>
      <c r="L155" s="9"/>
      <c r="M155" s="52"/>
      <c r="N155" s="5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9"/>
      <c r="B156" s="9"/>
      <c r="C156" s="9"/>
      <c r="D156" s="9"/>
      <c r="E156" s="9"/>
      <c r="F156" s="9"/>
      <c r="G156" s="50"/>
      <c r="H156" s="9"/>
      <c r="I156" s="9"/>
      <c r="J156" s="9"/>
      <c r="K156" s="9"/>
      <c r="L156" s="9"/>
      <c r="M156" s="52"/>
      <c r="N156" s="5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9"/>
      <c r="B157" s="9"/>
      <c r="C157" s="9"/>
      <c r="D157" s="9"/>
      <c r="E157" s="9"/>
      <c r="F157" s="9"/>
      <c r="G157" s="50"/>
      <c r="H157" s="9"/>
      <c r="I157" s="9"/>
      <c r="J157" s="9"/>
      <c r="K157" s="9"/>
      <c r="L157" s="9"/>
      <c r="M157" s="52"/>
      <c r="N157" s="5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9"/>
      <c r="B158" s="9"/>
      <c r="C158" s="9"/>
      <c r="D158" s="9"/>
      <c r="E158" s="9"/>
      <c r="F158" s="9"/>
      <c r="G158" s="50"/>
      <c r="H158" s="9"/>
      <c r="I158" s="9"/>
      <c r="J158" s="9"/>
      <c r="K158" s="9"/>
      <c r="L158" s="9"/>
      <c r="M158" s="52"/>
      <c r="N158" s="5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9"/>
      <c r="B159" s="9"/>
      <c r="C159" s="9"/>
      <c r="D159" s="9"/>
      <c r="E159" s="9"/>
      <c r="F159" s="9"/>
      <c r="G159" s="50"/>
      <c r="H159" s="9"/>
      <c r="I159" s="9"/>
      <c r="J159" s="9"/>
      <c r="K159" s="9"/>
      <c r="L159" s="9"/>
      <c r="M159" s="52"/>
      <c r="N159" s="5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9"/>
      <c r="B160" s="9"/>
      <c r="C160" s="9"/>
      <c r="D160" s="9"/>
      <c r="E160" s="9"/>
      <c r="F160" s="9"/>
      <c r="G160" s="50"/>
      <c r="H160" s="9"/>
      <c r="I160" s="9"/>
      <c r="J160" s="9"/>
      <c r="K160" s="9"/>
      <c r="L160" s="9"/>
      <c r="M160" s="52"/>
      <c r="N160" s="5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9"/>
      <c r="B161" s="9"/>
      <c r="C161" s="9"/>
      <c r="D161" s="9"/>
      <c r="E161" s="9"/>
      <c r="F161" s="9"/>
      <c r="G161" s="50"/>
      <c r="H161" s="9"/>
      <c r="I161" s="9"/>
      <c r="J161" s="9"/>
      <c r="K161" s="9"/>
      <c r="L161" s="9"/>
      <c r="M161" s="52"/>
      <c r="N161" s="5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53"/>
      <c r="B162" s="53"/>
      <c r="C162" s="53"/>
      <c r="D162" s="53"/>
      <c r="E162" s="53"/>
      <c r="F162" s="53"/>
      <c r="G162" s="54"/>
      <c r="H162" s="53"/>
      <c r="I162" s="53"/>
      <c r="J162" s="53"/>
      <c r="K162" s="53"/>
      <c r="L162" s="5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53"/>
      <c r="B163" s="53"/>
      <c r="C163" s="53"/>
      <c r="D163" s="53"/>
      <c r="E163" s="53"/>
      <c r="F163" s="53"/>
      <c r="G163" s="54"/>
      <c r="H163" s="53"/>
      <c r="I163" s="53"/>
      <c r="J163" s="53"/>
      <c r="K163" s="53"/>
      <c r="L163" s="5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5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5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5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5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5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5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5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5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5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5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5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5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5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5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5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5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5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5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5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5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5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5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5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5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5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5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5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5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5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5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5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5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5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5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5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5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5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5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5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5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5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5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5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5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5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5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5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5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5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5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5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5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5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5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5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5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5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5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5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5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5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5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5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5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5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5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5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5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5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5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5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5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5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5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5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5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5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5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5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5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5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5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5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5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5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5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5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5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5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5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5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5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5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5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5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5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5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5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5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5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5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5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5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5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5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5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5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5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5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5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5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5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5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5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5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5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5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5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5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5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5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5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5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5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5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5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5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5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5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5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5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5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5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5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5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5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5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5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5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5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5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5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5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5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5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5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5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5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5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5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5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5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5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5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5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5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5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5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5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5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5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5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5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</sheetData>
  <autoFilter ref="$G$1:$G$1070"/>
  <conditionalFormatting sqref="G1:G1070">
    <cfRule type="notContainsBlanks" dxfId="0" priority="1">
      <formula>LEN(TRIM(G1))&gt;0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38"/>
    <col customWidth="1" min="6" max="6" width="43.63"/>
    <col customWidth="1" min="16" max="16" width="21.63"/>
  </cols>
  <sheetData>
    <row r="1">
      <c r="A1" s="56" t="str">
        <f>IFERROR(__xludf.DUMMYFUNCTION("IMPORTRANGE(""1vlFprutayxq1vE50gb6f75g0D8fjRHl9MWTy6IMYVqI"",""출력소재!A:Z"")"),"대분류")</f>
        <v>대분류</v>
      </c>
      <c r="B1" s="56" t="str">
        <f>IFERROR(__xludf.DUMMYFUNCTION("""COMPUTED_VALUE"""),"중분류")</f>
        <v>중분류</v>
      </c>
      <c r="C1" s="56" t="str">
        <f>IFERROR(__xludf.DUMMYFUNCTION("""COMPUTED_VALUE"""),"종이명")</f>
        <v>종이명</v>
      </c>
      <c r="D1" s="56" t="str">
        <f>IFERROR(__xludf.DUMMYFUNCTION("""COMPUTED_VALUE"""),"평량")</f>
        <v>평량</v>
      </c>
      <c r="E1" s="56" t="str">
        <f>IFERROR(__xludf.DUMMYFUNCTION("""COMPUTED_VALUE"""),"파일명약어")</f>
        <v>파일명약어</v>
      </c>
      <c r="F1" s="56" t="str">
        <f>IFERROR(__xludf.DUMMYFUNCTION("""COMPUTED_VALUE"""),"구매정보")</f>
        <v>구매정보</v>
      </c>
      <c r="G1" s="56" t="str">
        <f>IFERROR(__xludf.DUMMYFUNCTION("""COMPUTED_VALUE"""),"전지")</f>
        <v>전지</v>
      </c>
      <c r="H1" s="56" t="str">
        <f>IFERROR(__xludf.DUMMYFUNCTION("""COMPUTED_VALUE"""),"연당가")</f>
        <v>연당가</v>
      </c>
      <c r="I1" s="56" t="str">
        <f>IFERROR(__xludf.DUMMYFUNCTION("""COMPUTED_VALUE"""),"가격
(국4절)")</f>
        <v>가격
(국4절)</v>
      </c>
      <c r="J1" s="56" t="str">
        <f>IFERROR(__xludf.DUMMYFUNCTION("""COMPUTED_VALUE"""),"가격(3절)")</f>
        <v>가격(3절)</v>
      </c>
      <c r="K1" s="56" t="str">
        <f>IFERROR(__xludf.DUMMYFUNCTION("""COMPUTED_VALUE"""),"종이사이즈")</f>
        <v>종이사이즈</v>
      </c>
      <c r="L1" s="56" t="str">
        <f>IFERROR(__xludf.DUMMYFUNCTION("""COMPUTED_VALUE"""),"프리미엄엽서")</f>
        <v>프리미엄엽서</v>
      </c>
      <c r="M1" s="56" t="str">
        <f>IFERROR(__xludf.DUMMYFUNCTION("""COMPUTED_VALUE"""),"스탠다드엽서")</f>
        <v>스탠다드엽서</v>
      </c>
      <c r="N1" s="56" t="str">
        <f>IFERROR(__xludf.DUMMYFUNCTION("""COMPUTED_VALUE"""),"2단접지카드 / 3단접지카드 / 미니접지카드")</f>
        <v>2단접지카드 / 3단접지카드 / 미니접지카드</v>
      </c>
      <c r="O1" s="56" t="str">
        <f>IFERROR(__xludf.DUMMYFUNCTION("""COMPUTED_VALUE"""),"프리미엄명함")</f>
        <v>프리미엄명함</v>
      </c>
      <c r="P1" s="56" t="str">
        <f>IFERROR(__xludf.DUMMYFUNCTION("""COMPUTED_VALUE"""),"소량전단지/접지리플렛")</f>
        <v>소량전단지/접지리플렛</v>
      </c>
      <c r="Q1" s="56" t="str">
        <f>IFERROR(__xludf.DUMMYFUNCTION("""COMPUTED_VALUE"""),"중철내지")</f>
        <v>중철내지</v>
      </c>
      <c r="R1" s="56" t="str">
        <f>IFERROR(__xludf.DUMMYFUNCTION("""COMPUTED_VALUE"""),"중철표지")</f>
        <v>중철표지</v>
      </c>
      <c r="S1" s="56" t="str">
        <f>IFERROR(__xludf.DUMMYFUNCTION("""COMPUTED_VALUE"""),"무선내지")</f>
        <v>무선내지</v>
      </c>
      <c r="T1" s="56" t="str">
        <f>IFERROR(__xludf.DUMMYFUNCTION("""COMPUTED_VALUE"""),"무선표지")</f>
        <v>무선표지</v>
      </c>
      <c r="U1" s="56" t="str">
        <f>IFERROR(__xludf.DUMMYFUNCTION("""COMPUTED_VALUE"""),"트윈링내지")</f>
        <v>트윈링내지</v>
      </c>
      <c r="V1" s="56" t="str">
        <f>IFERROR(__xludf.DUMMYFUNCTION("""COMPUTED_VALUE"""),"트윈링표지")</f>
        <v>트윈링표지</v>
      </c>
      <c r="W1" s="56" t="str">
        <f>IFERROR(__xludf.DUMMYFUNCTION("""COMPUTED_VALUE"""),"탁상형캘린더")</f>
        <v>탁상형캘린더</v>
      </c>
      <c r="X1" s="56" t="str">
        <f>IFERROR(__xludf.DUMMYFUNCTION("""COMPUTED_VALUE"""),"미니탁상형캘린더")</f>
        <v>미니탁상형캘린더</v>
      </c>
      <c r="Y1" s="56" t="str">
        <f>IFERROR(__xludf.DUMMYFUNCTION("""COMPUTED_VALUE"""),"엽서캘린더")</f>
        <v>엽서캘린더</v>
      </c>
      <c r="Z1" s="56" t="str">
        <f>IFERROR(__xludf.DUMMYFUNCTION("""COMPUTED_VALUE"""),"벽걸이캘린더")</f>
        <v>벽걸이캘린더</v>
      </c>
    </row>
    <row r="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 t="str">
        <f>IFERROR(__xludf.DUMMYFUNCTION("""COMPUTED_VALUE"""),"소량전단지포스터/리플렛팜플렛")</f>
        <v>소량전단지포스터/리플렛팜플렛</v>
      </c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6" t="str">
        <f>IFERROR(__xludf.DUMMYFUNCTION("""COMPUTED_VALUE"""),"구분")</f>
        <v>구분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 t="str">
        <f>IFERROR(__xludf.DUMMYFUNCTION("""COMPUTED_VALUE"""),"코팅/오시/접지")</f>
        <v>코팅/오시/접지</v>
      </c>
      <c r="Q3" s="56"/>
      <c r="R3" s="56"/>
      <c r="S3" s="56"/>
      <c r="T3" s="56" t="str">
        <f>IFERROR(__xludf.DUMMYFUNCTION("""COMPUTED_VALUE"""),"코팅/오시")</f>
        <v>코팅/오시</v>
      </c>
      <c r="U3" s="56"/>
      <c r="V3" s="56" t="str">
        <f>IFERROR(__xludf.DUMMYFUNCTION("""COMPUTED_VALUE"""),"코팅/오시")</f>
        <v>코팅/오시</v>
      </c>
      <c r="W3" s="56"/>
      <c r="X3" s="56"/>
      <c r="Y3" s="56"/>
      <c r="Z3" s="56"/>
    </row>
    <row r="4">
      <c r="A4" s="56" t="str">
        <f>IFERROR(__xludf.DUMMYFUNCTION("""COMPUTED_VALUE"""),"디지털인쇄")</f>
        <v>디지털인쇄</v>
      </c>
      <c r="B4" s="56" t="str">
        <f>IFERROR(__xludf.DUMMYFUNCTION("""COMPUTED_VALUE"""),"디지털인쇄용지")</f>
        <v>디지털인쇄용지</v>
      </c>
      <c r="C4" s="56" t="str">
        <f>IFERROR(__xludf.DUMMYFUNCTION("""COMPUTED_VALUE"""),"백색모조지 100g")</f>
        <v>백색모조지 100g</v>
      </c>
      <c r="D4" s="56">
        <f>IFERROR(__xludf.DUMMYFUNCTION("""COMPUTED_VALUE"""),100.0)</f>
        <v>100</v>
      </c>
      <c r="E4" s="56" t="str">
        <f>IFERROR(__xludf.DUMMYFUNCTION("""COMPUTED_VALUE"""),"백모조")</f>
        <v>백모조</v>
      </c>
      <c r="F4" s="56"/>
      <c r="G4" s="56" t="str">
        <f>IFERROR(__xludf.DUMMYFUNCTION("""COMPUTED_VALUE"""),"국전(939*636)")</f>
        <v>국전(939*636)</v>
      </c>
      <c r="H4" s="57">
        <f>IFERROR(__xludf.DUMMYFUNCTION("""COMPUTED_VALUE"""),61460.0)</f>
        <v>61460</v>
      </c>
      <c r="I4" s="58">
        <f>IFERROR(__xludf.DUMMYFUNCTION("""COMPUTED_VALUE"""),30.73)</f>
        <v>30.73</v>
      </c>
      <c r="J4" s="56"/>
      <c r="K4" s="56" t="str">
        <f>IFERROR(__xludf.DUMMYFUNCTION("""COMPUTED_VALUE"""),"316x467")</f>
        <v>316x467</v>
      </c>
      <c r="L4" s="56"/>
      <c r="M4" s="56"/>
      <c r="N4" s="56"/>
      <c r="O4" s="56"/>
      <c r="P4" s="56" t="str">
        <f>IFERROR(__xludf.DUMMYFUNCTION("""COMPUTED_VALUE"""),"●")</f>
        <v>●</v>
      </c>
      <c r="Q4" s="56"/>
      <c r="R4" s="56"/>
      <c r="S4" s="56"/>
      <c r="T4" s="56"/>
      <c r="U4" s="56" t="str">
        <f>IFERROR(__xludf.DUMMYFUNCTION("""COMPUTED_VALUE"""),"●")</f>
        <v>●</v>
      </c>
      <c r="V4" s="56" t="str">
        <f>IFERROR(__xludf.DUMMYFUNCTION("""COMPUTED_VALUE"""),"●")</f>
        <v>●</v>
      </c>
      <c r="W4" s="56"/>
      <c r="X4" s="56"/>
      <c r="Y4" s="56"/>
      <c r="Z4" s="56"/>
    </row>
    <row r="5">
      <c r="A5" s="56"/>
      <c r="B5" s="56"/>
      <c r="C5" s="56" t="str">
        <f>IFERROR(__xludf.DUMMYFUNCTION("""COMPUTED_VALUE"""),"백색모조지 120g")</f>
        <v>백색모조지 120g</v>
      </c>
      <c r="D5" s="56">
        <f>IFERROR(__xludf.DUMMYFUNCTION("""COMPUTED_VALUE"""),120.0)</f>
        <v>120</v>
      </c>
      <c r="E5" s="56" t="str">
        <f>IFERROR(__xludf.DUMMYFUNCTION("""COMPUTED_VALUE"""),"백모조")</f>
        <v>백모조</v>
      </c>
      <c r="F5" s="56"/>
      <c r="G5" s="56" t="str">
        <f>IFERROR(__xludf.DUMMYFUNCTION("""COMPUTED_VALUE"""),"국전(939*636)")</f>
        <v>국전(939*636)</v>
      </c>
      <c r="H5" s="57">
        <f>IFERROR(__xludf.DUMMYFUNCTION("""COMPUTED_VALUE"""),73750.0)</f>
        <v>73750</v>
      </c>
      <c r="I5" s="58">
        <f>IFERROR(__xludf.DUMMYFUNCTION("""COMPUTED_VALUE"""),36.875)</f>
        <v>36.875</v>
      </c>
      <c r="J5" s="56"/>
      <c r="K5" s="56" t="str">
        <f>IFERROR(__xludf.DUMMYFUNCTION("""COMPUTED_VALUE"""),"316x467")</f>
        <v>316x467</v>
      </c>
      <c r="L5" s="56"/>
      <c r="M5" s="56"/>
      <c r="N5" s="56"/>
      <c r="O5" s="56"/>
      <c r="P5" s="56" t="str">
        <f>IFERROR(__xludf.DUMMYFUNCTION("""COMPUTED_VALUE"""),"●")</f>
        <v>●</v>
      </c>
      <c r="Q5" s="56" t="str">
        <f>IFERROR(__xludf.DUMMYFUNCTION("""COMPUTED_VALUE"""),"●")</f>
        <v>●</v>
      </c>
      <c r="R5" s="56" t="str">
        <f>IFERROR(__xludf.DUMMYFUNCTION("""COMPUTED_VALUE"""),"●")</f>
        <v>●</v>
      </c>
      <c r="S5" s="56" t="str">
        <f>IFERROR(__xludf.DUMMYFUNCTION("""COMPUTED_VALUE"""),"●")</f>
        <v>●</v>
      </c>
      <c r="T5" s="56"/>
      <c r="U5" s="56" t="str">
        <f>IFERROR(__xludf.DUMMYFUNCTION("""COMPUTED_VALUE"""),"●")</f>
        <v>●</v>
      </c>
      <c r="V5" s="56" t="str">
        <f>IFERROR(__xludf.DUMMYFUNCTION("""COMPUTED_VALUE"""),"●")</f>
        <v>●</v>
      </c>
      <c r="W5" s="56"/>
      <c r="X5" s="56"/>
      <c r="Y5" s="56"/>
      <c r="Z5" s="56"/>
    </row>
    <row r="6">
      <c r="A6" s="56"/>
      <c r="B6" s="56"/>
      <c r="C6" s="56" t="str">
        <f>IFERROR(__xludf.DUMMYFUNCTION("""COMPUTED_VALUE"""),"백색모조지 220g")</f>
        <v>백색모조지 220g</v>
      </c>
      <c r="D6" s="56">
        <f>IFERROR(__xludf.DUMMYFUNCTION("""COMPUTED_VALUE"""),220.0)</f>
        <v>220</v>
      </c>
      <c r="E6" s="56" t="str">
        <f>IFERROR(__xludf.DUMMYFUNCTION("""COMPUTED_VALUE"""),"백모조")</f>
        <v>백모조</v>
      </c>
      <c r="F6" s="56"/>
      <c r="G6" s="56" t="str">
        <f>IFERROR(__xludf.DUMMYFUNCTION("""COMPUTED_VALUE"""),"국전(939*636)")</f>
        <v>국전(939*636)</v>
      </c>
      <c r="H6" s="57">
        <f>IFERROR(__xludf.DUMMYFUNCTION("""COMPUTED_VALUE"""),141280.0)</f>
        <v>141280</v>
      </c>
      <c r="I6" s="58">
        <f>IFERROR(__xludf.DUMMYFUNCTION("""COMPUTED_VALUE"""),70.64)</f>
        <v>70.64</v>
      </c>
      <c r="J6" s="56"/>
      <c r="K6" s="56" t="str">
        <f>IFERROR(__xludf.DUMMYFUNCTION("""COMPUTED_VALUE"""),"316x467")</f>
        <v>316x467</v>
      </c>
      <c r="L6" s="56" t="str">
        <f>IFERROR(__xludf.DUMMYFUNCTION("""COMPUTED_VALUE"""),"●")</f>
        <v>●</v>
      </c>
      <c r="M6" s="56" t="str">
        <f>IFERROR(__xludf.DUMMYFUNCTION("""COMPUTED_VALUE"""),"●")</f>
        <v>●</v>
      </c>
      <c r="N6" s="56" t="str">
        <f>IFERROR(__xludf.DUMMYFUNCTION("""COMPUTED_VALUE"""),"●")</f>
        <v>●</v>
      </c>
      <c r="O6" s="56"/>
      <c r="P6" s="56" t="str">
        <f>IFERROR(__xludf.DUMMYFUNCTION("""COMPUTED_VALUE"""),"●")</f>
        <v>●</v>
      </c>
      <c r="Q6" s="56"/>
      <c r="R6" s="56"/>
      <c r="S6" s="56"/>
      <c r="T6" s="56" t="str">
        <f>IFERROR(__xludf.DUMMYFUNCTION("""COMPUTED_VALUE"""),"●")</f>
        <v>●</v>
      </c>
      <c r="U6" s="56"/>
      <c r="V6" s="56" t="str">
        <f>IFERROR(__xludf.DUMMYFUNCTION("""COMPUTED_VALUE"""),"●")</f>
        <v>●</v>
      </c>
      <c r="W6" s="56"/>
      <c r="X6" s="56"/>
      <c r="Y6" s="56"/>
      <c r="Z6" s="56" t="str">
        <f>IFERROR(__xludf.DUMMYFUNCTION("""COMPUTED_VALUE"""),"●")</f>
        <v>●</v>
      </c>
    </row>
    <row r="7">
      <c r="A7" s="56"/>
      <c r="B7" s="56"/>
      <c r="C7" s="56" t="str">
        <f>IFERROR(__xludf.DUMMYFUNCTION("""COMPUTED_VALUE"""),"아트지 100g")</f>
        <v>아트지 100g</v>
      </c>
      <c r="D7" s="56">
        <f>IFERROR(__xludf.DUMMYFUNCTION("""COMPUTED_VALUE"""),100.0)</f>
        <v>100</v>
      </c>
      <c r="E7" s="56" t="str">
        <f>IFERROR(__xludf.DUMMYFUNCTION("""COMPUTED_VALUE"""),"아트")</f>
        <v>아트</v>
      </c>
      <c r="F7" s="56"/>
      <c r="G7" s="56" t="str">
        <f>IFERROR(__xludf.DUMMYFUNCTION("""COMPUTED_VALUE"""),"국전(939*636)")</f>
        <v>국전(939*636)</v>
      </c>
      <c r="H7" s="57">
        <f>IFERROR(__xludf.DUMMYFUNCTION("""COMPUTED_VALUE"""),61130.0)</f>
        <v>61130</v>
      </c>
      <c r="I7" s="58">
        <f>IFERROR(__xludf.DUMMYFUNCTION("""COMPUTED_VALUE"""),30.565)</f>
        <v>30.565</v>
      </c>
      <c r="J7" s="56"/>
      <c r="K7" s="56" t="str">
        <f>IFERROR(__xludf.DUMMYFUNCTION("""COMPUTED_VALUE"""),"316x467")</f>
        <v>316x467</v>
      </c>
      <c r="L7" s="56"/>
      <c r="M7" s="56"/>
      <c r="N7" s="56"/>
      <c r="O7" s="56"/>
      <c r="P7" s="56" t="str">
        <f>IFERROR(__xludf.DUMMYFUNCTION("""COMPUTED_VALUE"""),"●")</f>
        <v>●</v>
      </c>
      <c r="Q7" s="56"/>
      <c r="R7" s="56"/>
      <c r="S7" s="56"/>
      <c r="T7" s="56"/>
      <c r="U7" s="56" t="str">
        <f>IFERROR(__xludf.DUMMYFUNCTION("""COMPUTED_VALUE"""),"●")</f>
        <v>●</v>
      </c>
      <c r="V7" s="56" t="str">
        <f>IFERROR(__xludf.DUMMYFUNCTION("""COMPUTED_VALUE"""),"●")</f>
        <v>●</v>
      </c>
      <c r="W7" s="56"/>
      <c r="X7" s="56"/>
      <c r="Y7" s="56"/>
      <c r="Z7" s="56"/>
    </row>
    <row r="8">
      <c r="A8" s="56"/>
      <c r="B8" s="56"/>
      <c r="C8" s="56" t="str">
        <f>IFERROR(__xludf.DUMMYFUNCTION("""COMPUTED_VALUE"""),"아트지 120g")</f>
        <v>아트지 120g</v>
      </c>
      <c r="D8" s="56">
        <f>IFERROR(__xludf.DUMMYFUNCTION("""COMPUTED_VALUE"""),120.0)</f>
        <v>120</v>
      </c>
      <c r="E8" s="56" t="str">
        <f>IFERROR(__xludf.DUMMYFUNCTION("""COMPUTED_VALUE"""),"아트")</f>
        <v>아트</v>
      </c>
      <c r="F8" s="56"/>
      <c r="G8" s="56" t="str">
        <f>IFERROR(__xludf.DUMMYFUNCTION("""COMPUTED_VALUE"""),"국전(939*636)")</f>
        <v>국전(939*636)</v>
      </c>
      <c r="H8" s="57">
        <f>IFERROR(__xludf.DUMMYFUNCTION("""COMPUTED_VALUE"""),73350.0)</f>
        <v>73350</v>
      </c>
      <c r="I8" s="58">
        <f>IFERROR(__xludf.DUMMYFUNCTION("""COMPUTED_VALUE"""),36.675)</f>
        <v>36.675</v>
      </c>
      <c r="J8" s="56"/>
      <c r="K8" s="56" t="str">
        <f>IFERROR(__xludf.DUMMYFUNCTION("""COMPUTED_VALUE"""),"316x467")</f>
        <v>316x467</v>
      </c>
      <c r="L8" s="56"/>
      <c r="M8" s="56"/>
      <c r="N8" s="56"/>
      <c r="O8" s="56"/>
      <c r="P8" s="56" t="str">
        <f>IFERROR(__xludf.DUMMYFUNCTION("""COMPUTED_VALUE"""),"●")</f>
        <v>●</v>
      </c>
      <c r="Q8" s="56" t="str">
        <f>IFERROR(__xludf.DUMMYFUNCTION("""COMPUTED_VALUE"""),"●")</f>
        <v>●</v>
      </c>
      <c r="R8" s="56" t="str">
        <f>IFERROR(__xludf.DUMMYFUNCTION("""COMPUTED_VALUE"""),"●")</f>
        <v>●</v>
      </c>
      <c r="S8" s="56" t="str">
        <f>IFERROR(__xludf.DUMMYFUNCTION("""COMPUTED_VALUE"""),"●")</f>
        <v>●</v>
      </c>
      <c r="T8" s="56"/>
      <c r="U8" s="56" t="str">
        <f>IFERROR(__xludf.DUMMYFUNCTION("""COMPUTED_VALUE"""),"●")</f>
        <v>●</v>
      </c>
      <c r="V8" s="56" t="str">
        <f>IFERROR(__xludf.DUMMYFUNCTION("""COMPUTED_VALUE"""),"●")</f>
        <v>●</v>
      </c>
      <c r="W8" s="56"/>
      <c r="X8" s="56"/>
      <c r="Y8" s="56"/>
      <c r="Z8" s="56"/>
    </row>
    <row r="9">
      <c r="A9" s="56"/>
      <c r="B9" s="56"/>
      <c r="C9" s="56" t="str">
        <f>IFERROR(__xludf.DUMMYFUNCTION("""COMPUTED_VALUE"""),"아트지 150g")</f>
        <v>아트지 150g</v>
      </c>
      <c r="D9" s="56">
        <f>IFERROR(__xludf.DUMMYFUNCTION("""COMPUTED_VALUE"""),150.0)</f>
        <v>150</v>
      </c>
      <c r="E9" s="56" t="str">
        <f>IFERROR(__xludf.DUMMYFUNCTION("""COMPUTED_VALUE"""),"아트")</f>
        <v>아트</v>
      </c>
      <c r="F9" s="56"/>
      <c r="G9" s="56" t="str">
        <f>IFERROR(__xludf.DUMMYFUNCTION("""COMPUTED_VALUE"""),"국전(939*636)")</f>
        <v>국전(939*636)</v>
      </c>
      <c r="H9" s="57">
        <f>IFERROR(__xludf.DUMMYFUNCTION("""COMPUTED_VALUE"""),93300.0)</f>
        <v>93300</v>
      </c>
      <c r="I9" s="58">
        <f>IFERROR(__xludf.DUMMYFUNCTION("""COMPUTED_VALUE"""),46.65)</f>
        <v>46.65</v>
      </c>
      <c r="J9" s="56"/>
      <c r="K9" s="56" t="str">
        <f>IFERROR(__xludf.DUMMYFUNCTION("""COMPUTED_VALUE"""),"316x467")</f>
        <v>316x467</v>
      </c>
      <c r="L9" s="56"/>
      <c r="M9" s="56"/>
      <c r="N9" s="56"/>
      <c r="O9" s="56"/>
      <c r="P9" s="56" t="str">
        <f>IFERROR(__xludf.DUMMYFUNCTION("""COMPUTED_VALUE"""),"●")</f>
        <v>●</v>
      </c>
      <c r="Q9" s="56" t="str">
        <f>IFERROR(__xludf.DUMMYFUNCTION("""COMPUTED_VALUE"""),"●")</f>
        <v>●</v>
      </c>
      <c r="R9" s="56" t="str">
        <f>IFERROR(__xludf.DUMMYFUNCTION("""COMPUTED_VALUE"""),"●")</f>
        <v>●</v>
      </c>
      <c r="S9" s="56"/>
      <c r="T9" s="56"/>
      <c r="U9" s="56" t="str">
        <f>IFERROR(__xludf.DUMMYFUNCTION("""COMPUTED_VALUE"""),"●")</f>
        <v>●</v>
      </c>
      <c r="V9" s="56" t="str">
        <f>IFERROR(__xludf.DUMMYFUNCTION("""COMPUTED_VALUE"""),"●")</f>
        <v>●</v>
      </c>
      <c r="W9" s="56"/>
      <c r="X9" s="56"/>
      <c r="Y9" s="56"/>
      <c r="Z9" s="56"/>
    </row>
    <row r="10">
      <c r="A10" s="56"/>
      <c r="B10" s="56"/>
      <c r="C10" s="56" t="str">
        <f>IFERROR(__xludf.DUMMYFUNCTION("""COMPUTED_VALUE"""),"아트지 180g")</f>
        <v>아트지 180g</v>
      </c>
      <c r="D10" s="56">
        <f>IFERROR(__xludf.DUMMYFUNCTION("""COMPUTED_VALUE"""),180.0)</f>
        <v>180</v>
      </c>
      <c r="E10" s="56" t="str">
        <f>IFERROR(__xludf.DUMMYFUNCTION("""COMPUTED_VALUE"""),"아트")</f>
        <v>아트</v>
      </c>
      <c r="F10" s="56"/>
      <c r="G10" s="56" t="str">
        <f>IFERROR(__xludf.DUMMYFUNCTION("""COMPUTED_VALUE"""),"국전(939*636)")</f>
        <v>국전(939*636)</v>
      </c>
      <c r="H10" s="57">
        <f>IFERROR(__xludf.DUMMYFUNCTION("""COMPUTED_VALUE"""),111960.0)</f>
        <v>111960</v>
      </c>
      <c r="I10" s="58">
        <f>IFERROR(__xludf.DUMMYFUNCTION("""COMPUTED_VALUE"""),55.98)</f>
        <v>55.98</v>
      </c>
      <c r="J10" s="56"/>
      <c r="K10" s="56" t="str">
        <f>IFERROR(__xludf.DUMMYFUNCTION("""COMPUTED_VALUE"""),"316x467")</f>
        <v>316x467</v>
      </c>
      <c r="L10" s="56"/>
      <c r="M10" s="56"/>
      <c r="N10" s="56"/>
      <c r="O10" s="56"/>
      <c r="P10" s="56" t="str">
        <f>IFERROR(__xludf.DUMMYFUNCTION("""COMPUTED_VALUE"""),"●")</f>
        <v>●</v>
      </c>
      <c r="Q10" s="56" t="str">
        <f>IFERROR(__xludf.DUMMYFUNCTION("""COMPUTED_VALUE"""),"●")</f>
        <v>●</v>
      </c>
      <c r="R10" s="56" t="str">
        <f>IFERROR(__xludf.DUMMYFUNCTION("""COMPUTED_VALUE"""),"●")</f>
        <v>●</v>
      </c>
      <c r="S10" s="56"/>
      <c r="T10" s="56"/>
      <c r="U10" s="56" t="str">
        <f>IFERROR(__xludf.DUMMYFUNCTION("""COMPUTED_VALUE"""),"●")</f>
        <v>●</v>
      </c>
      <c r="V10" s="56" t="str">
        <f>IFERROR(__xludf.DUMMYFUNCTION("""COMPUTED_VALUE"""),"●")</f>
        <v>●</v>
      </c>
      <c r="W10" s="56"/>
      <c r="X10" s="56"/>
      <c r="Y10" s="56"/>
      <c r="Z10" s="56" t="str">
        <f>IFERROR(__xludf.DUMMYFUNCTION("""COMPUTED_VALUE"""),"●")</f>
        <v>●</v>
      </c>
    </row>
    <row r="11">
      <c r="A11" s="56"/>
      <c r="B11" s="56"/>
      <c r="C11" s="56" t="str">
        <f>IFERROR(__xludf.DUMMYFUNCTION("""COMPUTED_VALUE"""),"아트지 200g")</f>
        <v>아트지 200g</v>
      </c>
      <c r="D11" s="56">
        <f>IFERROR(__xludf.DUMMYFUNCTION("""COMPUTED_VALUE"""),200.0)</f>
        <v>200</v>
      </c>
      <c r="E11" s="56" t="str">
        <f>IFERROR(__xludf.DUMMYFUNCTION("""COMPUTED_VALUE"""),"아트")</f>
        <v>아트</v>
      </c>
      <c r="F11" s="56"/>
      <c r="G11" s="56" t="str">
        <f>IFERROR(__xludf.DUMMYFUNCTION("""COMPUTED_VALUE"""),"국전(939*636)")</f>
        <v>국전(939*636)</v>
      </c>
      <c r="H11" s="57">
        <f>IFERROR(__xludf.DUMMYFUNCTION("""COMPUTED_VALUE"""),124390.0)</f>
        <v>124390</v>
      </c>
      <c r="I11" s="58">
        <f>IFERROR(__xludf.DUMMYFUNCTION("""COMPUTED_VALUE"""),62.195)</f>
        <v>62.195</v>
      </c>
      <c r="J11" s="56"/>
      <c r="K11" s="56" t="str">
        <f>IFERROR(__xludf.DUMMYFUNCTION("""COMPUTED_VALUE"""),"316x467")</f>
        <v>316x467</v>
      </c>
      <c r="L11" s="56"/>
      <c r="M11" s="56" t="str">
        <f>IFERROR(__xludf.DUMMYFUNCTION("""COMPUTED_VALUE"""),"●")</f>
        <v>●</v>
      </c>
      <c r="N11" s="56"/>
      <c r="O11" s="56"/>
      <c r="P11" s="56" t="str">
        <f>IFERROR(__xludf.DUMMYFUNCTION("""COMPUTED_VALUE"""),"●")</f>
        <v>●</v>
      </c>
      <c r="Q11" s="56" t="str">
        <f>IFERROR(__xludf.DUMMYFUNCTION("""COMPUTED_VALUE"""),"●")</f>
        <v>●</v>
      </c>
      <c r="R11" s="56" t="str">
        <f>IFERROR(__xludf.DUMMYFUNCTION("""COMPUTED_VALUE"""),"●")</f>
        <v>●</v>
      </c>
      <c r="S11" s="56"/>
      <c r="T11" s="56"/>
      <c r="U11" s="56"/>
      <c r="V11" s="56" t="str">
        <f>IFERROR(__xludf.DUMMYFUNCTION("""COMPUTED_VALUE"""),"●")</f>
        <v>●</v>
      </c>
      <c r="W11" s="56"/>
      <c r="X11" s="56"/>
      <c r="Y11" s="56"/>
      <c r="Z11" s="56" t="str">
        <f>IFERROR(__xludf.DUMMYFUNCTION("""COMPUTED_VALUE"""),"●")</f>
        <v>●</v>
      </c>
    </row>
    <row r="12">
      <c r="A12" s="56"/>
      <c r="B12" s="56"/>
      <c r="C12" s="56" t="str">
        <f>IFERROR(__xludf.DUMMYFUNCTION("""COMPUTED_VALUE"""),"아트지 250g")</f>
        <v>아트지 250g</v>
      </c>
      <c r="D12" s="56">
        <f>IFERROR(__xludf.DUMMYFUNCTION("""COMPUTED_VALUE"""),250.0)</f>
        <v>250</v>
      </c>
      <c r="E12" s="56" t="str">
        <f>IFERROR(__xludf.DUMMYFUNCTION("""COMPUTED_VALUE"""),"아트")</f>
        <v>아트</v>
      </c>
      <c r="F12" s="56"/>
      <c r="G12" s="56" t="str">
        <f>IFERROR(__xludf.DUMMYFUNCTION("""COMPUTED_VALUE"""),"국전(939*636)")</f>
        <v>국전(939*636)</v>
      </c>
      <c r="H12" s="57">
        <f>IFERROR(__xludf.DUMMYFUNCTION("""COMPUTED_VALUE"""),155490.0)</f>
        <v>155490</v>
      </c>
      <c r="I12" s="58">
        <f>IFERROR(__xludf.DUMMYFUNCTION("""COMPUTED_VALUE"""),77.745)</f>
        <v>77.745</v>
      </c>
      <c r="J12" s="56"/>
      <c r="K12" s="56" t="str">
        <f>IFERROR(__xludf.DUMMYFUNCTION("""COMPUTED_VALUE"""),"316x467")</f>
        <v>316x467</v>
      </c>
      <c r="L12" s="56"/>
      <c r="M12" s="56" t="str">
        <f>IFERROR(__xludf.DUMMYFUNCTION("""COMPUTED_VALUE"""),"●")</f>
        <v>●</v>
      </c>
      <c r="N12" s="56" t="str">
        <f>IFERROR(__xludf.DUMMYFUNCTION("""COMPUTED_VALUE"""),"●")</f>
        <v>●</v>
      </c>
      <c r="O12" s="56"/>
      <c r="P12" s="56" t="str">
        <f>IFERROR(__xludf.DUMMYFUNCTION("""COMPUTED_VALUE"""),"●")</f>
        <v>●</v>
      </c>
      <c r="Q12" s="56"/>
      <c r="R12" s="56"/>
      <c r="S12" s="56"/>
      <c r="T12" s="56" t="str">
        <f>IFERROR(__xludf.DUMMYFUNCTION("""COMPUTED_VALUE"""),"●")</f>
        <v>●</v>
      </c>
      <c r="U12" s="56"/>
      <c r="V12" s="56" t="str">
        <f>IFERROR(__xludf.DUMMYFUNCTION("""COMPUTED_VALUE"""),"●")</f>
        <v>●</v>
      </c>
      <c r="W12" s="56"/>
      <c r="X12" s="56"/>
      <c r="Y12" s="56"/>
      <c r="Z12" s="56" t="str">
        <f>IFERROR(__xludf.DUMMYFUNCTION("""COMPUTED_VALUE"""),"●")</f>
        <v>●</v>
      </c>
    </row>
    <row r="13">
      <c r="A13" s="56"/>
      <c r="B13" s="56"/>
      <c r="C13" s="56" t="str">
        <f>IFERROR(__xludf.DUMMYFUNCTION("""COMPUTED_VALUE"""),"아트지 300g")</f>
        <v>아트지 300g</v>
      </c>
      <c r="D13" s="56">
        <f>IFERROR(__xludf.DUMMYFUNCTION("""COMPUTED_VALUE"""),300.0)</f>
        <v>300</v>
      </c>
      <c r="E13" s="56" t="str">
        <f>IFERROR(__xludf.DUMMYFUNCTION("""COMPUTED_VALUE"""),"아트")</f>
        <v>아트</v>
      </c>
      <c r="F13" s="56"/>
      <c r="G13" s="56" t="str">
        <f>IFERROR(__xludf.DUMMYFUNCTION("""COMPUTED_VALUE"""),"국전(939*636)")</f>
        <v>국전(939*636)</v>
      </c>
      <c r="H13" s="57">
        <f>IFERROR(__xludf.DUMMYFUNCTION("""COMPUTED_VALUE"""),186600.0)</f>
        <v>186600</v>
      </c>
      <c r="I13" s="58">
        <f>IFERROR(__xludf.DUMMYFUNCTION("""COMPUTED_VALUE"""),93.3)</f>
        <v>93.3</v>
      </c>
      <c r="J13" s="56"/>
      <c r="K13" s="56" t="str">
        <f>IFERROR(__xludf.DUMMYFUNCTION("""COMPUTED_VALUE"""),"316x467")</f>
        <v>316x467</v>
      </c>
      <c r="L13" s="56" t="str">
        <f>IFERROR(__xludf.DUMMYFUNCTION("""COMPUTED_VALUE"""),"●")</f>
        <v>●</v>
      </c>
      <c r="M13" s="56" t="str">
        <f>IFERROR(__xludf.DUMMYFUNCTION("""COMPUTED_VALUE"""),"●")</f>
        <v>●</v>
      </c>
      <c r="N13" s="56" t="str">
        <f>IFERROR(__xludf.DUMMYFUNCTION("""COMPUTED_VALUE"""),"●")</f>
        <v>●</v>
      </c>
      <c r="O13" s="56"/>
      <c r="P13" s="56" t="str">
        <f>IFERROR(__xludf.DUMMYFUNCTION("""COMPUTED_VALUE"""),"●")</f>
        <v>●</v>
      </c>
      <c r="Q13" s="56"/>
      <c r="R13" s="56"/>
      <c r="S13" s="56"/>
      <c r="T13" s="56" t="str">
        <f>IFERROR(__xludf.DUMMYFUNCTION("""COMPUTED_VALUE"""),"●")</f>
        <v>●</v>
      </c>
      <c r="U13" s="56"/>
      <c r="V13" s="56" t="str">
        <f>IFERROR(__xludf.DUMMYFUNCTION("""COMPUTED_VALUE"""),"●")</f>
        <v>●</v>
      </c>
      <c r="W13" s="56"/>
      <c r="X13" s="56"/>
      <c r="Y13" s="56"/>
      <c r="Z13" s="56" t="str">
        <f>IFERROR(__xludf.DUMMYFUNCTION("""COMPUTED_VALUE"""),"●")</f>
        <v>●</v>
      </c>
    </row>
    <row r="14">
      <c r="A14" s="56"/>
      <c r="B14" s="56"/>
      <c r="C14" s="56" t="str">
        <f>IFERROR(__xludf.DUMMYFUNCTION("""COMPUTED_VALUE"""),"스노우지 100g")</f>
        <v>스노우지 100g</v>
      </c>
      <c r="D14" s="56">
        <f>IFERROR(__xludf.DUMMYFUNCTION("""COMPUTED_VALUE"""),100.0)</f>
        <v>100</v>
      </c>
      <c r="E14" s="56" t="str">
        <f>IFERROR(__xludf.DUMMYFUNCTION("""COMPUTED_VALUE"""),"스노우")</f>
        <v>스노우</v>
      </c>
      <c r="F14" s="56"/>
      <c r="G14" s="56" t="str">
        <f>IFERROR(__xludf.DUMMYFUNCTION("""COMPUTED_VALUE"""),"국전(939*636)")</f>
        <v>국전(939*636)</v>
      </c>
      <c r="H14" s="57">
        <f>IFERROR(__xludf.DUMMYFUNCTION("""COMPUTED_VALUE"""),61130.0)</f>
        <v>61130</v>
      </c>
      <c r="I14" s="58">
        <f>IFERROR(__xludf.DUMMYFUNCTION("""COMPUTED_VALUE"""),30.565)</f>
        <v>30.565</v>
      </c>
      <c r="J14" s="56"/>
      <c r="K14" s="56" t="str">
        <f>IFERROR(__xludf.DUMMYFUNCTION("""COMPUTED_VALUE"""),"316x467")</f>
        <v>316x467</v>
      </c>
      <c r="L14" s="56"/>
      <c r="M14" s="56"/>
      <c r="N14" s="56"/>
      <c r="O14" s="56"/>
      <c r="P14" s="56" t="str">
        <f>IFERROR(__xludf.DUMMYFUNCTION("""COMPUTED_VALUE"""),"●")</f>
        <v>●</v>
      </c>
      <c r="Q14" s="56"/>
      <c r="R14" s="56"/>
      <c r="S14" s="56"/>
      <c r="T14" s="56"/>
      <c r="U14" s="56" t="str">
        <f>IFERROR(__xludf.DUMMYFUNCTION("""COMPUTED_VALUE"""),"●")</f>
        <v>●</v>
      </c>
      <c r="V14" s="56" t="str">
        <f>IFERROR(__xludf.DUMMYFUNCTION("""COMPUTED_VALUE"""),"●")</f>
        <v>●</v>
      </c>
      <c r="W14" s="56"/>
      <c r="X14" s="56"/>
      <c r="Y14" s="56"/>
      <c r="Z14" s="56"/>
    </row>
    <row r="15">
      <c r="A15" s="56"/>
      <c r="B15" s="56"/>
      <c r="C15" s="56" t="str">
        <f>IFERROR(__xludf.DUMMYFUNCTION("""COMPUTED_VALUE"""),"스노우지 120g")</f>
        <v>스노우지 120g</v>
      </c>
      <c r="D15" s="56">
        <f>IFERROR(__xludf.DUMMYFUNCTION("""COMPUTED_VALUE"""),120.0)</f>
        <v>120</v>
      </c>
      <c r="E15" s="56" t="str">
        <f>IFERROR(__xludf.DUMMYFUNCTION("""COMPUTED_VALUE"""),"스노우")</f>
        <v>스노우</v>
      </c>
      <c r="F15" s="56"/>
      <c r="G15" s="56" t="str">
        <f>IFERROR(__xludf.DUMMYFUNCTION("""COMPUTED_VALUE"""),"국전(939*636)")</f>
        <v>국전(939*636)</v>
      </c>
      <c r="H15" s="57">
        <f>IFERROR(__xludf.DUMMYFUNCTION("""COMPUTED_VALUE"""),73350.0)</f>
        <v>73350</v>
      </c>
      <c r="I15" s="58">
        <f>IFERROR(__xludf.DUMMYFUNCTION("""COMPUTED_VALUE"""),36.675)</f>
        <v>36.675</v>
      </c>
      <c r="J15" s="56"/>
      <c r="K15" s="56" t="str">
        <f>IFERROR(__xludf.DUMMYFUNCTION("""COMPUTED_VALUE"""),"316x467")</f>
        <v>316x467</v>
      </c>
      <c r="L15" s="56"/>
      <c r="M15" s="56"/>
      <c r="N15" s="56"/>
      <c r="O15" s="56"/>
      <c r="P15" s="56" t="str">
        <f>IFERROR(__xludf.DUMMYFUNCTION("""COMPUTED_VALUE"""),"●")</f>
        <v>●</v>
      </c>
      <c r="Q15" s="56" t="str">
        <f>IFERROR(__xludf.DUMMYFUNCTION("""COMPUTED_VALUE"""),"●")</f>
        <v>●</v>
      </c>
      <c r="R15" s="56" t="str">
        <f>IFERROR(__xludf.DUMMYFUNCTION("""COMPUTED_VALUE"""),"●")</f>
        <v>●</v>
      </c>
      <c r="S15" s="56" t="str">
        <f>IFERROR(__xludf.DUMMYFUNCTION("""COMPUTED_VALUE"""),"●")</f>
        <v>●</v>
      </c>
      <c r="T15" s="56"/>
      <c r="U15" s="56" t="str">
        <f>IFERROR(__xludf.DUMMYFUNCTION("""COMPUTED_VALUE"""),"●")</f>
        <v>●</v>
      </c>
      <c r="V15" s="56" t="str">
        <f>IFERROR(__xludf.DUMMYFUNCTION("""COMPUTED_VALUE"""),"●")</f>
        <v>●</v>
      </c>
      <c r="W15" s="56"/>
      <c r="X15" s="56"/>
      <c r="Y15" s="56"/>
      <c r="Z15" s="56"/>
    </row>
    <row r="16">
      <c r="A16" s="56"/>
      <c r="B16" s="56"/>
      <c r="C16" s="56" t="str">
        <f>IFERROR(__xludf.DUMMYFUNCTION("""COMPUTED_VALUE"""),"스노우지 150g")</f>
        <v>스노우지 150g</v>
      </c>
      <c r="D16" s="56">
        <f>IFERROR(__xludf.DUMMYFUNCTION("""COMPUTED_VALUE"""),150.0)</f>
        <v>150</v>
      </c>
      <c r="E16" s="56" t="str">
        <f>IFERROR(__xludf.DUMMYFUNCTION("""COMPUTED_VALUE"""),"스노우")</f>
        <v>스노우</v>
      </c>
      <c r="F16" s="56"/>
      <c r="G16" s="56" t="str">
        <f>IFERROR(__xludf.DUMMYFUNCTION("""COMPUTED_VALUE"""),"국전(939*636)")</f>
        <v>국전(939*636)</v>
      </c>
      <c r="H16" s="57">
        <f>IFERROR(__xludf.DUMMYFUNCTION("""COMPUTED_VALUE"""),93300.0)</f>
        <v>93300</v>
      </c>
      <c r="I16" s="58">
        <f>IFERROR(__xludf.DUMMYFUNCTION("""COMPUTED_VALUE"""),46.65)</f>
        <v>46.65</v>
      </c>
      <c r="J16" s="56"/>
      <c r="K16" s="56" t="str">
        <f>IFERROR(__xludf.DUMMYFUNCTION("""COMPUTED_VALUE"""),"316x467")</f>
        <v>316x467</v>
      </c>
      <c r="L16" s="56"/>
      <c r="M16" s="56"/>
      <c r="N16" s="56"/>
      <c r="O16" s="56"/>
      <c r="P16" s="56" t="str">
        <f>IFERROR(__xludf.DUMMYFUNCTION("""COMPUTED_VALUE"""),"●")</f>
        <v>●</v>
      </c>
      <c r="Q16" s="56" t="str">
        <f>IFERROR(__xludf.DUMMYFUNCTION("""COMPUTED_VALUE"""),"●")</f>
        <v>●</v>
      </c>
      <c r="R16" s="56" t="str">
        <f>IFERROR(__xludf.DUMMYFUNCTION("""COMPUTED_VALUE"""),"●")</f>
        <v>●</v>
      </c>
      <c r="S16" s="56"/>
      <c r="T16" s="56"/>
      <c r="U16" s="56" t="str">
        <f>IFERROR(__xludf.DUMMYFUNCTION("""COMPUTED_VALUE"""),"●")</f>
        <v>●</v>
      </c>
      <c r="V16" s="56" t="str">
        <f>IFERROR(__xludf.DUMMYFUNCTION("""COMPUTED_VALUE"""),"●")</f>
        <v>●</v>
      </c>
      <c r="W16" s="56"/>
      <c r="X16" s="56"/>
      <c r="Y16" s="56"/>
      <c r="Z16" s="56"/>
    </row>
    <row r="17">
      <c r="A17" s="56"/>
      <c r="B17" s="56"/>
      <c r="C17" s="56" t="str">
        <f>IFERROR(__xludf.DUMMYFUNCTION("""COMPUTED_VALUE"""),"스노우지 180g")</f>
        <v>스노우지 180g</v>
      </c>
      <c r="D17" s="56">
        <f>IFERROR(__xludf.DUMMYFUNCTION("""COMPUTED_VALUE"""),180.0)</f>
        <v>180</v>
      </c>
      <c r="E17" s="56" t="str">
        <f>IFERROR(__xludf.DUMMYFUNCTION("""COMPUTED_VALUE"""),"스노우")</f>
        <v>스노우</v>
      </c>
      <c r="F17" s="56"/>
      <c r="G17" s="56" t="str">
        <f>IFERROR(__xludf.DUMMYFUNCTION("""COMPUTED_VALUE"""),"국전(939*636)")</f>
        <v>국전(939*636)</v>
      </c>
      <c r="H17" s="57">
        <f>IFERROR(__xludf.DUMMYFUNCTION("""COMPUTED_VALUE"""),111960.0)</f>
        <v>111960</v>
      </c>
      <c r="I17" s="58">
        <f>IFERROR(__xludf.DUMMYFUNCTION("""COMPUTED_VALUE"""),55.98)</f>
        <v>55.98</v>
      </c>
      <c r="J17" s="56"/>
      <c r="K17" s="56" t="str">
        <f>IFERROR(__xludf.DUMMYFUNCTION("""COMPUTED_VALUE"""),"316x467")</f>
        <v>316x467</v>
      </c>
      <c r="L17" s="56"/>
      <c r="M17" s="56"/>
      <c r="N17" s="56"/>
      <c r="O17" s="56"/>
      <c r="P17" s="56" t="str">
        <f>IFERROR(__xludf.DUMMYFUNCTION("""COMPUTED_VALUE"""),"●")</f>
        <v>●</v>
      </c>
      <c r="Q17" s="56" t="str">
        <f>IFERROR(__xludf.DUMMYFUNCTION("""COMPUTED_VALUE"""),"●")</f>
        <v>●</v>
      </c>
      <c r="R17" s="56" t="str">
        <f>IFERROR(__xludf.DUMMYFUNCTION("""COMPUTED_VALUE"""),"●")</f>
        <v>●</v>
      </c>
      <c r="S17" s="56"/>
      <c r="T17" s="56"/>
      <c r="U17" s="56" t="str">
        <f>IFERROR(__xludf.DUMMYFUNCTION("""COMPUTED_VALUE"""),"●")</f>
        <v>●</v>
      </c>
      <c r="V17" s="56" t="str">
        <f>IFERROR(__xludf.DUMMYFUNCTION("""COMPUTED_VALUE"""),"●")</f>
        <v>●</v>
      </c>
      <c r="W17" s="56"/>
      <c r="X17" s="56"/>
      <c r="Y17" s="56"/>
      <c r="Z17" s="56" t="str">
        <f>IFERROR(__xludf.DUMMYFUNCTION("""COMPUTED_VALUE"""),"●")</f>
        <v>●</v>
      </c>
    </row>
    <row r="18">
      <c r="A18" s="56"/>
      <c r="B18" s="56"/>
      <c r="C18" s="56" t="str">
        <f>IFERROR(__xludf.DUMMYFUNCTION("""COMPUTED_VALUE"""),"스노우지 200g")</f>
        <v>스노우지 200g</v>
      </c>
      <c r="D18" s="56">
        <f>IFERROR(__xludf.DUMMYFUNCTION("""COMPUTED_VALUE"""),200.0)</f>
        <v>200</v>
      </c>
      <c r="E18" s="56" t="str">
        <f>IFERROR(__xludf.DUMMYFUNCTION("""COMPUTED_VALUE"""),"스노우")</f>
        <v>스노우</v>
      </c>
      <c r="F18" s="56"/>
      <c r="G18" s="56" t="str">
        <f>IFERROR(__xludf.DUMMYFUNCTION("""COMPUTED_VALUE"""),"국전(939*636)")</f>
        <v>국전(939*636)</v>
      </c>
      <c r="H18" s="57">
        <f>IFERROR(__xludf.DUMMYFUNCTION("""COMPUTED_VALUE"""),124390.0)</f>
        <v>124390</v>
      </c>
      <c r="I18" s="58">
        <f>IFERROR(__xludf.DUMMYFUNCTION("""COMPUTED_VALUE"""),62.195)</f>
        <v>62.195</v>
      </c>
      <c r="J18" s="56"/>
      <c r="K18" s="56" t="str">
        <f>IFERROR(__xludf.DUMMYFUNCTION("""COMPUTED_VALUE"""),"316x467")</f>
        <v>316x467</v>
      </c>
      <c r="L18" s="56"/>
      <c r="M18" s="56" t="str">
        <f>IFERROR(__xludf.DUMMYFUNCTION("""COMPUTED_VALUE"""),"●")</f>
        <v>●</v>
      </c>
      <c r="N18" s="56"/>
      <c r="O18" s="56"/>
      <c r="P18" s="56" t="str">
        <f>IFERROR(__xludf.DUMMYFUNCTION("""COMPUTED_VALUE"""),"●")</f>
        <v>●</v>
      </c>
      <c r="Q18" s="56" t="str">
        <f>IFERROR(__xludf.DUMMYFUNCTION("""COMPUTED_VALUE"""),"●")</f>
        <v>●</v>
      </c>
      <c r="R18" s="56" t="str">
        <f>IFERROR(__xludf.DUMMYFUNCTION("""COMPUTED_VALUE"""),"●")</f>
        <v>●</v>
      </c>
      <c r="S18" s="56"/>
      <c r="T18" s="56"/>
      <c r="U18" s="56"/>
      <c r="V18" s="56" t="str">
        <f>IFERROR(__xludf.DUMMYFUNCTION("""COMPUTED_VALUE"""),"●")</f>
        <v>●</v>
      </c>
      <c r="W18" s="56" t="str">
        <f>IFERROR(__xludf.DUMMYFUNCTION("""COMPUTED_VALUE"""),"●")</f>
        <v>●</v>
      </c>
      <c r="X18" s="56" t="str">
        <f>IFERROR(__xludf.DUMMYFUNCTION("""COMPUTED_VALUE"""),"●")</f>
        <v>●</v>
      </c>
      <c r="Y18" s="56" t="str">
        <f>IFERROR(__xludf.DUMMYFUNCTION("""COMPUTED_VALUE"""),"●")</f>
        <v>●</v>
      </c>
      <c r="Z18" s="56" t="str">
        <f>IFERROR(__xludf.DUMMYFUNCTION("""COMPUTED_VALUE"""),"●")</f>
        <v>●</v>
      </c>
    </row>
    <row r="19">
      <c r="A19" s="56"/>
      <c r="B19" s="56"/>
      <c r="C19" s="56" t="str">
        <f>IFERROR(__xludf.DUMMYFUNCTION("""COMPUTED_VALUE"""),"스노우지 250g")</f>
        <v>스노우지 250g</v>
      </c>
      <c r="D19" s="56">
        <f>IFERROR(__xludf.DUMMYFUNCTION("""COMPUTED_VALUE"""),250.0)</f>
        <v>250</v>
      </c>
      <c r="E19" s="56" t="str">
        <f>IFERROR(__xludf.DUMMYFUNCTION("""COMPUTED_VALUE"""),"스노우")</f>
        <v>스노우</v>
      </c>
      <c r="F19" s="56"/>
      <c r="G19" s="56" t="str">
        <f>IFERROR(__xludf.DUMMYFUNCTION("""COMPUTED_VALUE"""),"국전(939*636)")</f>
        <v>국전(939*636)</v>
      </c>
      <c r="H19" s="57">
        <f>IFERROR(__xludf.DUMMYFUNCTION("""COMPUTED_VALUE"""),155490.0)</f>
        <v>155490</v>
      </c>
      <c r="I19" s="58">
        <f>IFERROR(__xludf.DUMMYFUNCTION("""COMPUTED_VALUE"""),77.745)</f>
        <v>77.745</v>
      </c>
      <c r="J19" s="56"/>
      <c r="K19" s="56" t="str">
        <f>IFERROR(__xludf.DUMMYFUNCTION("""COMPUTED_VALUE"""),"316x467")</f>
        <v>316x467</v>
      </c>
      <c r="L19" s="56"/>
      <c r="M19" s="56" t="str">
        <f>IFERROR(__xludf.DUMMYFUNCTION("""COMPUTED_VALUE"""),"●")</f>
        <v>●</v>
      </c>
      <c r="N19" s="56" t="str">
        <f>IFERROR(__xludf.DUMMYFUNCTION("""COMPUTED_VALUE"""),"●")</f>
        <v>●</v>
      </c>
      <c r="O19" s="56"/>
      <c r="P19" s="56" t="str">
        <f>IFERROR(__xludf.DUMMYFUNCTION("""COMPUTED_VALUE"""),"●")</f>
        <v>●</v>
      </c>
      <c r="Q19" s="56"/>
      <c r="R19" s="56"/>
      <c r="S19" s="56"/>
      <c r="T19" s="56" t="str">
        <f>IFERROR(__xludf.DUMMYFUNCTION("""COMPUTED_VALUE"""),"●")</f>
        <v>●</v>
      </c>
      <c r="U19" s="56"/>
      <c r="V19" s="56" t="str">
        <f>IFERROR(__xludf.DUMMYFUNCTION("""COMPUTED_VALUE"""),"●")</f>
        <v>●</v>
      </c>
      <c r="W19" s="56"/>
      <c r="X19" s="56"/>
      <c r="Y19" s="56"/>
      <c r="Z19" s="56" t="str">
        <f>IFERROR(__xludf.DUMMYFUNCTION("""COMPUTED_VALUE"""),"●")</f>
        <v>●</v>
      </c>
    </row>
    <row r="20">
      <c r="A20" s="56"/>
      <c r="B20" s="56"/>
      <c r="C20" s="56" t="str">
        <f>IFERROR(__xludf.DUMMYFUNCTION("""COMPUTED_VALUE"""),"스노우지 300g")</f>
        <v>스노우지 300g</v>
      </c>
      <c r="D20" s="56">
        <f>IFERROR(__xludf.DUMMYFUNCTION("""COMPUTED_VALUE"""),300.0)</f>
        <v>300</v>
      </c>
      <c r="E20" s="56" t="str">
        <f>IFERROR(__xludf.DUMMYFUNCTION("""COMPUTED_VALUE"""),"스노우")</f>
        <v>스노우</v>
      </c>
      <c r="F20" s="56"/>
      <c r="G20" s="56" t="str">
        <f>IFERROR(__xludf.DUMMYFUNCTION("""COMPUTED_VALUE"""),"국전(939*636)")</f>
        <v>국전(939*636)</v>
      </c>
      <c r="H20" s="57">
        <f>IFERROR(__xludf.DUMMYFUNCTION("""COMPUTED_VALUE"""),186600.0)</f>
        <v>186600</v>
      </c>
      <c r="I20" s="58">
        <f>IFERROR(__xludf.DUMMYFUNCTION("""COMPUTED_VALUE"""),93.3)</f>
        <v>93.3</v>
      </c>
      <c r="J20" s="56"/>
      <c r="K20" s="56" t="str">
        <f>IFERROR(__xludf.DUMMYFUNCTION("""COMPUTED_VALUE"""),"316x467")</f>
        <v>316x467</v>
      </c>
      <c r="L20" s="56" t="str">
        <f>IFERROR(__xludf.DUMMYFUNCTION("""COMPUTED_VALUE"""),"●")</f>
        <v>●</v>
      </c>
      <c r="M20" s="56" t="str">
        <f>IFERROR(__xludf.DUMMYFUNCTION("""COMPUTED_VALUE"""),"●")</f>
        <v>●</v>
      </c>
      <c r="N20" s="56" t="str">
        <f>IFERROR(__xludf.DUMMYFUNCTION("""COMPUTED_VALUE"""),"●")</f>
        <v>●</v>
      </c>
      <c r="O20" s="56"/>
      <c r="P20" s="56" t="str">
        <f>IFERROR(__xludf.DUMMYFUNCTION("""COMPUTED_VALUE"""),"●")</f>
        <v>●</v>
      </c>
      <c r="Q20" s="56"/>
      <c r="R20" s="56"/>
      <c r="S20" s="56"/>
      <c r="T20" s="56" t="str">
        <f>IFERROR(__xludf.DUMMYFUNCTION("""COMPUTED_VALUE"""),"●")</f>
        <v>●</v>
      </c>
      <c r="U20" s="56"/>
      <c r="V20" s="56" t="str">
        <f>IFERROR(__xludf.DUMMYFUNCTION("""COMPUTED_VALUE"""),"●")</f>
        <v>●</v>
      </c>
      <c r="W20" s="56"/>
      <c r="X20" s="56"/>
      <c r="Y20" s="56"/>
      <c r="Z20" s="56" t="str">
        <f>IFERROR(__xludf.DUMMYFUNCTION("""COMPUTED_VALUE"""),"●")</f>
        <v>●</v>
      </c>
    </row>
    <row r="21">
      <c r="A21" s="56"/>
      <c r="B21" s="56"/>
      <c r="C21" s="56" t="str">
        <f>IFERROR(__xludf.DUMMYFUNCTION("""COMPUTED_VALUE"""),"앙상블 100g")</f>
        <v>앙상블 100g</v>
      </c>
      <c r="D21" s="56">
        <f>IFERROR(__xludf.DUMMYFUNCTION("""COMPUTED_VALUE"""),100.0)</f>
        <v>100</v>
      </c>
      <c r="E21" s="56" t="str">
        <f>IFERROR(__xludf.DUMMYFUNCTION("""COMPUTED_VALUE"""),"앙상블")</f>
        <v>앙상블</v>
      </c>
      <c r="F21" s="56"/>
      <c r="G21" s="56" t="str">
        <f>IFERROR(__xludf.DUMMYFUNCTION("""COMPUTED_VALUE"""),"국전(939*636)")</f>
        <v>국전(939*636)</v>
      </c>
      <c r="H21" s="57">
        <f>IFERROR(__xludf.DUMMYFUNCTION("""COMPUTED_VALUE"""),109730.0)</f>
        <v>109730</v>
      </c>
      <c r="I21" s="58">
        <f>IFERROR(__xludf.DUMMYFUNCTION("""COMPUTED_VALUE"""),54.865)</f>
        <v>54.865</v>
      </c>
      <c r="J21" s="56"/>
      <c r="K21" s="56" t="str">
        <f>IFERROR(__xludf.DUMMYFUNCTION("""COMPUTED_VALUE"""),"316x467")</f>
        <v>316x467</v>
      </c>
      <c r="L21" s="56"/>
      <c r="M21" s="56"/>
      <c r="N21" s="56"/>
      <c r="O21" s="56"/>
      <c r="P21" s="56" t="str">
        <f>IFERROR(__xludf.DUMMYFUNCTION("""COMPUTED_VALUE"""),"●")</f>
        <v>●</v>
      </c>
      <c r="Q21" s="56"/>
      <c r="R21" s="56"/>
      <c r="S21" s="56" t="str">
        <f>IFERROR(__xludf.DUMMYFUNCTION("""COMPUTED_VALUE"""),"●")</f>
        <v>●</v>
      </c>
      <c r="T21" s="56"/>
      <c r="U21" s="56" t="str">
        <f>IFERROR(__xludf.DUMMYFUNCTION("""COMPUTED_VALUE"""),"●")</f>
        <v>●</v>
      </c>
      <c r="V21" s="56" t="str">
        <f>IFERROR(__xludf.DUMMYFUNCTION("""COMPUTED_VALUE"""),"●")</f>
        <v>●</v>
      </c>
      <c r="W21" s="56"/>
      <c r="X21" s="56"/>
      <c r="Y21" s="56"/>
      <c r="Z21" s="56"/>
    </row>
    <row r="22">
      <c r="A22" s="56"/>
      <c r="B22" s="56"/>
      <c r="C22" s="56" t="str">
        <f>IFERROR(__xludf.DUMMYFUNCTION("""COMPUTED_VALUE"""),"앙상블 130g")</f>
        <v>앙상블 130g</v>
      </c>
      <c r="D22" s="56">
        <f>IFERROR(__xludf.DUMMYFUNCTION("""COMPUTED_VALUE"""),130.0)</f>
        <v>130</v>
      </c>
      <c r="E22" s="56"/>
      <c r="F22" s="56"/>
      <c r="G22" s="56" t="str">
        <f>IFERROR(__xludf.DUMMYFUNCTION("""COMPUTED_VALUE"""),"국전(939*636)")</f>
        <v>국전(939*636)</v>
      </c>
      <c r="H22" s="57">
        <f>IFERROR(__xludf.DUMMYFUNCTION("""COMPUTED_VALUE"""),142660.0)</f>
        <v>142660</v>
      </c>
      <c r="I22" s="58">
        <f>IFERROR(__xludf.DUMMYFUNCTION("""COMPUTED_VALUE"""),71.33)</f>
        <v>71.33</v>
      </c>
      <c r="J22" s="56"/>
      <c r="K22" s="56"/>
      <c r="L22" s="56"/>
      <c r="M22" s="56"/>
      <c r="N22" s="56"/>
      <c r="O22" s="56"/>
      <c r="P22" s="56" t="str">
        <f>IFERROR(__xludf.DUMMYFUNCTION("""COMPUTED_VALUE"""),"●")</f>
        <v>●</v>
      </c>
      <c r="Q22" s="56"/>
      <c r="R22" s="56"/>
      <c r="S22" s="56" t="str">
        <f>IFERROR(__xludf.DUMMYFUNCTION("""COMPUTED_VALUE"""),"●")</f>
        <v>●</v>
      </c>
      <c r="T22" s="56"/>
      <c r="U22" s="56" t="str">
        <f>IFERROR(__xludf.DUMMYFUNCTION("""COMPUTED_VALUE"""),"●")</f>
        <v>●</v>
      </c>
      <c r="V22" s="56" t="str">
        <f>IFERROR(__xludf.DUMMYFUNCTION("""COMPUTED_VALUE"""),"●")</f>
        <v>●</v>
      </c>
      <c r="W22" s="56"/>
      <c r="X22" s="56"/>
      <c r="Y22" s="56"/>
      <c r="Z22" s="56"/>
    </row>
    <row r="23">
      <c r="A23" s="56"/>
      <c r="B23" s="56"/>
      <c r="C23" s="56" t="str">
        <f>IFERROR(__xludf.DUMMYFUNCTION("""COMPUTED_VALUE"""),"앙상블 160g")</f>
        <v>앙상블 160g</v>
      </c>
      <c r="D23" s="56">
        <f>IFERROR(__xludf.DUMMYFUNCTION("""COMPUTED_VALUE"""),160.0)</f>
        <v>160</v>
      </c>
      <c r="E23" s="56"/>
      <c r="F23" s="56"/>
      <c r="G23" s="56" t="str">
        <f>IFERROR(__xludf.DUMMYFUNCTION("""COMPUTED_VALUE"""),"국전(939*636)")</f>
        <v>국전(939*636)</v>
      </c>
      <c r="H23" s="57">
        <f>IFERROR(__xludf.DUMMYFUNCTION("""COMPUTED_VALUE"""),175590.0)</f>
        <v>175590</v>
      </c>
      <c r="I23" s="58">
        <f>IFERROR(__xludf.DUMMYFUNCTION("""COMPUTED_VALUE"""),87.795)</f>
        <v>87.795</v>
      </c>
      <c r="J23" s="56"/>
      <c r="K23" s="56"/>
      <c r="L23" s="56"/>
      <c r="M23" s="56"/>
      <c r="N23" s="56"/>
      <c r="O23" s="56"/>
      <c r="P23" s="56" t="str">
        <f>IFERROR(__xludf.DUMMYFUNCTION("""COMPUTED_VALUE"""),"●")</f>
        <v>●</v>
      </c>
      <c r="Q23" s="56"/>
      <c r="R23" s="56"/>
      <c r="S23" s="56"/>
      <c r="T23" s="56"/>
      <c r="U23" s="56" t="str">
        <f>IFERROR(__xludf.DUMMYFUNCTION("""COMPUTED_VALUE"""),"●")</f>
        <v>●</v>
      </c>
      <c r="V23" s="56" t="str">
        <f>IFERROR(__xludf.DUMMYFUNCTION("""COMPUTED_VALUE"""),"●")</f>
        <v>●</v>
      </c>
      <c r="W23" s="56"/>
      <c r="X23" s="56"/>
      <c r="Y23" s="56"/>
      <c r="Z23" s="56" t="str">
        <f>IFERROR(__xludf.DUMMYFUNCTION("""COMPUTED_VALUE"""),"●")</f>
        <v>●</v>
      </c>
    </row>
    <row r="24">
      <c r="A24" s="56"/>
      <c r="B24" s="56"/>
      <c r="C24" s="56" t="str">
        <f>IFERROR(__xludf.DUMMYFUNCTION("""COMPUTED_VALUE"""),"앙상블 190g")</f>
        <v>앙상블 190g</v>
      </c>
      <c r="D24" s="56">
        <f>IFERROR(__xludf.DUMMYFUNCTION("""COMPUTED_VALUE"""),190.0)</f>
        <v>190</v>
      </c>
      <c r="E24" s="56"/>
      <c r="F24" s="56"/>
      <c r="G24" s="56" t="str">
        <f>IFERROR(__xludf.DUMMYFUNCTION("""COMPUTED_VALUE"""),"국전(939*636)")</f>
        <v>국전(939*636)</v>
      </c>
      <c r="H24" s="57">
        <f>IFERROR(__xludf.DUMMYFUNCTION("""COMPUTED_VALUE"""),208480.0)</f>
        <v>208480</v>
      </c>
      <c r="I24" s="58">
        <f>IFERROR(__xludf.DUMMYFUNCTION("""COMPUTED_VALUE"""),104.24)</f>
        <v>104.24</v>
      </c>
      <c r="J24" s="56"/>
      <c r="K24" s="56"/>
      <c r="L24" s="56"/>
      <c r="M24" s="56"/>
      <c r="N24" s="56"/>
      <c r="O24" s="56"/>
      <c r="P24" s="56" t="str">
        <f>IFERROR(__xludf.DUMMYFUNCTION("""COMPUTED_VALUE"""),"●")</f>
        <v>●</v>
      </c>
      <c r="Q24" s="56"/>
      <c r="R24" s="56"/>
      <c r="S24" s="56"/>
      <c r="T24" s="56"/>
      <c r="U24" s="56"/>
      <c r="V24" s="56" t="str">
        <f>IFERROR(__xludf.DUMMYFUNCTION("""COMPUTED_VALUE"""),"●")</f>
        <v>●</v>
      </c>
      <c r="W24" s="56"/>
      <c r="X24" s="56"/>
      <c r="Y24" s="56" t="str">
        <f>IFERROR(__xludf.DUMMYFUNCTION("""COMPUTED_VALUE"""),"●")</f>
        <v>●</v>
      </c>
      <c r="Z24" s="56" t="str">
        <f>IFERROR(__xludf.DUMMYFUNCTION("""COMPUTED_VALUE"""),"●")</f>
        <v>●</v>
      </c>
    </row>
    <row r="25">
      <c r="A25" s="56"/>
      <c r="B25" s="56"/>
      <c r="C25" s="56" t="str">
        <f>IFERROR(__xludf.DUMMYFUNCTION("""COMPUTED_VALUE"""),"앙상블 210g")</f>
        <v>앙상블 210g</v>
      </c>
      <c r="D25" s="56">
        <f>IFERROR(__xludf.DUMMYFUNCTION("""COMPUTED_VALUE"""),210.0)</f>
        <v>210</v>
      </c>
      <c r="E25" s="56"/>
      <c r="F25" s="56"/>
      <c r="G25" s="56" t="str">
        <f>IFERROR(__xludf.DUMMYFUNCTION("""COMPUTED_VALUE"""),"국전(939*636)")</f>
        <v>국전(939*636)</v>
      </c>
      <c r="H25" s="57">
        <f>IFERROR(__xludf.DUMMYFUNCTION("""COMPUTED_VALUE"""),230460.0)</f>
        <v>230460</v>
      </c>
      <c r="I25" s="58">
        <f>IFERROR(__xludf.DUMMYFUNCTION("""COMPUTED_VALUE"""),115.23)</f>
        <v>115.23</v>
      </c>
      <c r="J25" s="56"/>
      <c r="K25" s="56"/>
      <c r="L25" s="56"/>
      <c r="M25" s="56"/>
      <c r="N25" s="56"/>
      <c r="O25" s="56" t="str">
        <f>IFERROR(__xludf.DUMMYFUNCTION("""COMPUTED_VALUE"""),"●")</f>
        <v>●</v>
      </c>
      <c r="P25" s="56" t="str">
        <f>IFERROR(__xludf.DUMMYFUNCTION("""COMPUTED_VALUE"""),"●")</f>
        <v>●</v>
      </c>
      <c r="Q25" s="56"/>
      <c r="R25" s="56"/>
      <c r="S25" s="56"/>
      <c r="T25" s="56"/>
      <c r="U25" s="56"/>
      <c r="V25" s="56" t="str">
        <f>IFERROR(__xludf.DUMMYFUNCTION("""COMPUTED_VALUE"""),"●")</f>
        <v>●</v>
      </c>
      <c r="W25" s="56"/>
      <c r="X25" s="56"/>
      <c r="Y25" s="56"/>
      <c r="Z25" s="56" t="str">
        <f>IFERROR(__xludf.DUMMYFUNCTION("""COMPUTED_VALUE"""),"●")</f>
        <v>●</v>
      </c>
    </row>
    <row r="26">
      <c r="A26" s="56"/>
      <c r="B26" s="56"/>
      <c r="C26" s="56" t="str">
        <f>IFERROR(__xludf.DUMMYFUNCTION("""COMPUTED_VALUE"""),"랑데뷰 WH 240g")</f>
        <v>랑데뷰 WH 240g</v>
      </c>
      <c r="D26" s="56">
        <f>IFERROR(__xludf.DUMMYFUNCTION("""COMPUTED_VALUE"""),240.0)</f>
        <v>240</v>
      </c>
      <c r="E26" s="56" t="str">
        <f>IFERROR(__xludf.DUMMYFUNCTION("""COMPUTED_VALUE"""),"랑데뷰")</f>
        <v>랑데뷰</v>
      </c>
      <c r="F26" s="56"/>
      <c r="G26" s="56" t="str">
        <f>IFERROR(__xludf.DUMMYFUNCTION("""COMPUTED_VALUE"""),"국전(939*636)")</f>
        <v>국전(939*636)</v>
      </c>
      <c r="H26" s="57">
        <f>IFERROR(__xludf.DUMMYFUNCTION("""COMPUTED_VALUE"""),312820.0)</f>
        <v>312820</v>
      </c>
      <c r="I26" s="58">
        <f>IFERROR(__xludf.DUMMYFUNCTION("""COMPUTED_VALUE"""),71.33)</f>
        <v>71.33</v>
      </c>
      <c r="J26" s="56"/>
      <c r="K26" s="56" t="str">
        <f>IFERROR(__xludf.DUMMYFUNCTION("""COMPUTED_VALUE"""),"316x467")</f>
        <v>316x467</v>
      </c>
      <c r="L26" s="56" t="str">
        <f>IFERROR(__xludf.DUMMYFUNCTION("""COMPUTED_VALUE"""),"●")</f>
        <v>●</v>
      </c>
      <c r="M26" s="56"/>
      <c r="N26" s="56" t="str">
        <f>IFERROR(__xludf.DUMMYFUNCTION("""COMPUTED_VALUE"""),"●")</f>
        <v>●</v>
      </c>
      <c r="O26" s="56" t="str">
        <f>IFERROR(__xludf.DUMMYFUNCTION("""COMPUTED_VALUE"""),"●")</f>
        <v>●</v>
      </c>
      <c r="P26" s="56" t="str">
        <f>IFERROR(__xludf.DUMMYFUNCTION("""COMPUTED_VALUE"""),"●")</f>
        <v>●</v>
      </c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 t="str">
        <f>IFERROR(__xludf.DUMMYFUNCTION("""COMPUTED_VALUE"""),"랑데뷰 WH 310g")</f>
        <v>랑데뷰 WH 310g</v>
      </c>
      <c r="D27" s="56">
        <f>IFERROR(__xludf.DUMMYFUNCTION("""COMPUTED_VALUE"""),310.0)</f>
        <v>310</v>
      </c>
      <c r="E27" s="56" t="str">
        <f>IFERROR(__xludf.DUMMYFUNCTION("""COMPUTED_VALUE"""),"랑데뷰")</f>
        <v>랑데뷰</v>
      </c>
      <c r="F27" s="56"/>
      <c r="G27" s="56" t="str">
        <f>IFERROR(__xludf.DUMMYFUNCTION("""COMPUTED_VALUE"""),"국전(939*636)")</f>
        <v>국전(939*636)</v>
      </c>
      <c r="H27" s="57">
        <f>IFERROR(__xludf.DUMMYFUNCTION("""COMPUTED_VALUE"""),404050.0)</f>
        <v>404050</v>
      </c>
      <c r="I27" s="58">
        <f>IFERROR(__xludf.DUMMYFUNCTION("""COMPUTED_VALUE"""),87.795)</f>
        <v>87.795</v>
      </c>
      <c r="J27" s="56"/>
      <c r="K27" s="56" t="str">
        <f>IFERROR(__xludf.DUMMYFUNCTION("""COMPUTED_VALUE"""),"316x467")</f>
        <v>316x467</v>
      </c>
      <c r="L27" s="56"/>
      <c r="M27" s="56"/>
      <c r="N27" s="56"/>
      <c r="O27" s="56" t="str">
        <f>IFERROR(__xludf.DUMMYFUNCTION("""COMPUTED_VALUE"""),"●")</f>
        <v>●</v>
      </c>
      <c r="P27" s="56" t="str">
        <f>IFERROR(__xludf.DUMMYFUNCTION("""COMPUTED_VALUE"""),"●")</f>
        <v>●</v>
      </c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 t="str">
        <f>IFERROR(__xludf.DUMMYFUNCTION("""COMPUTED_VALUE"""),"몽블랑 100g")</f>
        <v>몽블랑 100g</v>
      </c>
      <c r="D28" s="56">
        <f>IFERROR(__xludf.DUMMYFUNCTION("""COMPUTED_VALUE"""),100.0)</f>
        <v>100</v>
      </c>
      <c r="E28" s="56" t="str">
        <f>IFERROR(__xludf.DUMMYFUNCTION("""COMPUTED_VALUE"""),"몽블랑")</f>
        <v>몽블랑</v>
      </c>
      <c r="F28" s="56"/>
      <c r="G28" s="56" t="str">
        <f>IFERROR(__xludf.DUMMYFUNCTION("""COMPUTED_VALUE"""),"국전(939*636)")</f>
        <v>국전(939*636)</v>
      </c>
      <c r="H28" s="57">
        <f>IFERROR(__xludf.DUMMYFUNCTION("""COMPUTED_VALUE"""),118500.0)</f>
        <v>118500</v>
      </c>
      <c r="I28" s="58">
        <f>IFERROR(__xludf.DUMMYFUNCTION("""COMPUTED_VALUE"""),59.25)</f>
        <v>59.25</v>
      </c>
      <c r="J28" s="56"/>
      <c r="K28" s="56" t="str">
        <f>IFERROR(__xludf.DUMMYFUNCTION("""COMPUTED_VALUE"""),"316x467")</f>
        <v>316x467</v>
      </c>
      <c r="L28" s="56"/>
      <c r="M28" s="56"/>
      <c r="N28" s="56"/>
      <c r="O28" s="56"/>
      <c r="P28" s="56" t="str">
        <f>IFERROR(__xludf.DUMMYFUNCTION("""COMPUTED_VALUE"""),"●")</f>
        <v>●</v>
      </c>
      <c r="Q28" s="56" t="str">
        <f>IFERROR(__xludf.DUMMYFUNCTION("""COMPUTED_VALUE"""),"●")</f>
        <v>●</v>
      </c>
      <c r="R28" s="56" t="str">
        <f>IFERROR(__xludf.DUMMYFUNCTION("""COMPUTED_VALUE"""),"●")</f>
        <v>●</v>
      </c>
      <c r="S28" s="56" t="str">
        <f>IFERROR(__xludf.DUMMYFUNCTION("""COMPUTED_VALUE"""),"●")</f>
        <v>●</v>
      </c>
      <c r="T28" s="56"/>
      <c r="U28" s="56" t="str">
        <f>IFERROR(__xludf.DUMMYFUNCTION("""COMPUTED_VALUE"""),"●")</f>
        <v>●</v>
      </c>
      <c r="V28" s="56" t="str">
        <f>IFERROR(__xludf.DUMMYFUNCTION("""COMPUTED_VALUE"""),"●")</f>
        <v>●</v>
      </c>
      <c r="W28" s="56"/>
      <c r="X28" s="56"/>
      <c r="Y28" s="56"/>
      <c r="Z28" s="56"/>
    </row>
    <row r="29">
      <c r="A29" s="56"/>
      <c r="B29" s="56"/>
      <c r="C29" s="56" t="str">
        <f>IFERROR(__xludf.DUMMYFUNCTION("""COMPUTED_VALUE"""),"몽블랑 130g")</f>
        <v>몽블랑 130g</v>
      </c>
      <c r="D29" s="56">
        <f>IFERROR(__xludf.DUMMYFUNCTION("""COMPUTED_VALUE"""),130.0)</f>
        <v>130</v>
      </c>
      <c r="E29" s="56" t="str">
        <f>IFERROR(__xludf.DUMMYFUNCTION("""COMPUTED_VALUE"""),"몽블랑")</f>
        <v>몽블랑</v>
      </c>
      <c r="F29" s="56"/>
      <c r="G29" s="56" t="str">
        <f>IFERROR(__xludf.DUMMYFUNCTION("""COMPUTED_VALUE"""),"국전(939*636)")</f>
        <v>국전(939*636)</v>
      </c>
      <c r="H29" s="57">
        <f>IFERROR(__xludf.DUMMYFUNCTION("""COMPUTED_VALUE"""),154050.0)</f>
        <v>154050</v>
      </c>
      <c r="I29" s="58">
        <f>IFERROR(__xludf.DUMMYFUNCTION("""COMPUTED_VALUE"""),77.025)</f>
        <v>77.025</v>
      </c>
      <c r="J29" s="56"/>
      <c r="K29" s="56" t="str">
        <f>IFERROR(__xludf.DUMMYFUNCTION("""COMPUTED_VALUE"""),"316x467")</f>
        <v>316x467</v>
      </c>
      <c r="L29" s="56"/>
      <c r="M29" s="56"/>
      <c r="N29" s="56"/>
      <c r="O29" s="56"/>
      <c r="P29" s="56" t="str">
        <f>IFERROR(__xludf.DUMMYFUNCTION("""COMPUTED_VALUE"""),"●")</f>
        <v>●</v>
      </c>
      <c r="Q29" s="56" t="str">
        <f>IFERROR(__xludf.DUMMYFUNCTION("""COMPUTED_VALUE"""),"●")</f>
        <v>●</v>
      </c>
      <c r="R29" s="56" t="str">
        <f>IFERROR(__xludf.DUMMYFUNCTION("""COMPUTED_VALUE"""),"●")</f>
        <v>●</v>
      </c>
      <c r="S29" s="56" t="str">
        <f>IFERROR(__xludf.DUMMYFUNCTION("""COMPUTED_VALUE"""),"●")</f>
        <v>●</v>
      </c>
      <c r="T29" s="56"/>
      <c r="U29" s="56" t="str">
        <f>IFERROR(__xludf.DUMMYFUNCTION("""COMPUTED_VALUE"""),"●")</f>
        <v>●</v>
      </c>
      <c r="V29" s="56" t="str">
        <f>IFERROR(__xludf.DUMMYFUNCTION("""COMPUTED_VALUE"""),"●")</f>
        <v>●</v>
      </c>
      <c r="W29" s="56"/>
      <c r="X29" s="56"/>
      <c r="Y29" s="56"/>
      <c r="Z29" s="56"/>
    </row>
    <row r="30">
      <c r="A30" s="56"/>
      <c r="B30" s="56"/>
      <c r="C30" s="56" t="str">
        <f>IFERROR(__xludf.DUMMYFUNCTION("""COMPUTED_VALUE"""),"몽블랑 160g")</f>
        <v>몽블랑 160g</v>
      </c>
      <c r="D30" s="56">
        <f>IFERROR(__xludf.DUMMYFUNCTION("""COMPUTED_VALUE"""),160.0)</f>
        <v>160</v>
      </c>
      <c r="E30" s="56" t="str">
        <f>IFERROR(__xludf.DUMMYFUNCTION("""COMPUTED_VALUE"""),"몽블랑")</f>
        <v>몽블랑</v>
      </c>
      <c r="F30" s="56"/>
      <c r="G30" s="56" t="str">
        <f>IFERROR(__xludf.DUMMYFUNCTION("""COMPUTED_VALUE"""),"국전(939*636)")</f>
        <v>국전(939*636)</v>
      </c>
      <c r="H30" s="57">
        <f>IFERROR(__xludf.DUMMYFUNCTION("""COMPUTED_VALUE"""),189600.0)</f>
        <v>189600</v>
      </c>
      <c r="I30" s="58">
        <f>IFERROR(__xludf.DUMMYFUNCTION("""COMPUTED_VALUE"""),94.8)</f>
        <v>94.8</v>
      </c>
      <c r="J30" s="56"/>
      <c r="K30" s="56" t="str">
        <f>IFERROR(__xludf.DUMMYFUNCTION("""COMPUTED_VALUE"""),"316x467")</f>
        <v>316x467</v>
      </c>
      <c r="L30" s="56"/>
      <c r="M30" s="56"/>
      <c r="N30" s="56"/>
      <c r="O30" s="56"/>
      <c r="P30" s="56" t="str">
        <f>IFERROR(__xludf.DUMMYFUNCTION("""COMPUTED_VALUE"""),"●")</f>
        <v>●</v>
      </c>
      <c r="Q30" s="56" t="str">
        <f>IFERROR(__xludf.DUMMYFUNCTION("""COMPUTED_VALUE"""),"●")</f>
        <v>●</v>
      </c>
      <c r="R30" s="56" t="str">
        <f>IFERROR(__xludf.DUMMYFUNCTION("""COMPUTED_VALUE"""),"●")</f>
        <v>●</v>
      </c>
      <c r="S30" s="56"/>
      <c r="T30" s="56"/>
      <c r="U30" s="56" t="str">
        <f>IFERROR(__xludf.DUMMYFUNCTION("""COMPUTED_VALUE"""),"●")</f>
        <v>●</v>
      </c>
      <c r="V30" s="56" t="str">
        <f>IFERROR(__xludf.DUMMYFUNCTION("""COMPUTED_VALUE"""),"●")</f>
        <v>●</v>
      </c>
      <c r="W30" s="56"/>
      <c r="X30" s="56"/>
      <c r="Y30" s="56"/>
      <c r="Z30" s="56"/>
    </row>
    <row r="31">
      <c r="A31" s="56"/>
      <c r="B31" s="56"/>
      <c r="C31" s="56" t="str">
        <f>IFERROR(__xludf.DUMMYFUNCTION("""COMPUTED_VALUE"""),"몽블랑 190g")</f>
        <v>몽블랑 190g</v>
      </c>
      <c r="D31" s="56">
        <f>IFERROR(__xludf.DUMMYFUNCTION("""COMPUTED_VALUE"""),190.0)</f>
        <v>190</v>
      </c>
      <c r="E31" s="56" t="str">
        <f>IFERROR(__xludf.DUMMYFUNCTION("""COMPUTED_VALUE"""),"몽블랑")</f>
        <v>몽블랑</v>
      </c>
      <c r="F31" s="56"/>
      <c r="G31" s="56" t="str">
        <f>IFERROR(__xludf.DUMMYFUNCTION("""COMPUTED_VALUE"""),"국전(939*636)")</f>
        <v>국전(939*636)</v>
      </c>
      <c r="H31" s="57">
        <f>IFERROR(__xludf.DUMMYFUNCTION("""COMPUTED_VALUE"""),225150.0)</f>
        <v>225150</v>
      </c>
      <c r="I31" s="58">
        <f>IFERROR(__xludf.DUMMYFUNCTION("""COMPUTED_VALUE"""),112.575)</f>
        <v>112.575</v>
      </c>
      <c r="J31" s="56"/>
      <c r="K31" s="56" t="str">
        <f>IFERROR(__xludf.DUMMYFUNCTION("""COMPUTED_VALUE"""),"316x467")</f>
        <v>316x467</v>
      </c>
      <c r="L31" s="56"/>
      <c r="M31" s="56"/>
      <c r="N31" s="56"/>
      <c r="O31" s="56"/>
      <c r="P31" s="56" t="str">
        <f>IFERROR(__xludf.DUMMYFUNCTION("""COMPUTED_VALUE"""),"●")</f>
        <v>●</v>
      </c>
      <c r="Q31" s="56" t="str">
        <f>IFERROR(__xludf.DUMMYFUNCTION("""COMPUTED_VALUE"""),"●")</f>
        <v>●</v>
      </c>
      <c r="R31" s="56" t="str">
        <f>IFERROR(__xludf.DUMMYFUNCTION("""COMPUTED_VALUE"""),"●")</f>
        <v>●</v>
      </c>
      <c r="S31" s="56"/>
      <c r="T31" s="56"/>
      <c r="U31" s="56"/>
      <c r="V31" s="56" t="str">
        <f>IFERROR(__xludf.DUMMYFUNCTION("""COMPUTED_VALUE"""),"●")</f>
        <v>●</v>
      </c>
      <c r="W31" s="56" t="str">
        <f>IFERROR(__xludf.DUMMYFUNCTION("""COMPUTED_VALUE"""),"●")</f>
        <v>●</v>
      </c>
      <c r="X31" s="56" t="str">
        <f>IFERROR(__xludf.DUMMYFUNCTION("""COMPUTED_VALUE"""),"●")</f>
        <v>●</v>
      </c>
      <c r="Y31" s="56" t="str">
        <f>IFERROR(__xludf.DUMMYFUNCTION("""COMPUTED_VALUE"""),"●")</f>
        <v>●</v>
      </c>
      <c r="Z31" s="56" t="str">
        <f>IFERROR(__xludf.DUMMYFUNCTION("""COMPUTED_VALUE"""),"●")</f>
        <v>●</v>
      </c>
    </row>
    <row r="32">
      <c r="A32" s="56"/>
      <c r="B32" s="56"/>
      <c r="C32" s="56" t="str">
        <f>IFERROR(__xludf.DUMMYFUNCTION("""COMPUTED_VALUE"""),"몽블랑 210g")</f>
        <v>몽블랑 210g</v>
      </c>
      <c r="D32" s="56">
        <f>IFERROR(__xludf.DUMMYFUNCTION("""COMPUTED_VALUE"""),210.0)</f>
        <v>210</v>
      </c>
      <c r="E32" s="56" t="str">
        <f>IFERROR(__xludf.DUMMYFUNCTION("""COMPUTED_VALUE"""),"몽블랑")</f>
        <v>몽블랑</v>
      </c>
      <c r="F32" s="56"/>
      <c r="G32" s="56" t="str">
        <f>IFERROR(__xludf.DUMMYFUNCTION("""COMPUTED_VALUE"""),"국전(939*636)")</f>
        <v>국전(939*636)</v>
      </c>
      <c r="H32" s="57">
        <f>IFERROR(__xludf.DUMMYFUNCTION("""COMPUTED_VALUE"""),248850.0)</f>
        <v>248850</v>
      </c>
      <c r="I32" s="58">
        <f>IFERROR(__xludf.DUMMYFUNCTION("""COMPUTED_VALUE"""),124.425)</f>
        <v>124.425</v>
      </c>
      <c r="J32" s="56"/>
      <c r="K32" s="56" t="str">
        <f>IFERROR(__xludf.DUMMYFUNCTION("""COMPUTED_VALUE"""),"316x467")</f>
        <v>316x467</v>
      </c>
      <c r="L32" s="56"/>
      <c r="M32" s="56"/>
      <c r="N32" s="56" t="str">
        <f>IFERROR(__xludf.DUMMYFUNCTION("""COMPUTED_VALUE"""),"●")</f>
        <v>●</v>
      </c>
      <c r="O32" s="56" t="str">
        <f>IFERROR(__xludf.DUMMYFUNCTION("""COMPUTED_VALUE"""),"●")</f>
        <v>●</v>
      </c>
      <c r="P32" s="56" t="str">
        <f>IFERROR(__xludf.DUMMYFUNCTION("""COMPUTED_VALUE"""),"●")</f>
        <v>●</v>
      </c>
      <c r="Q32" s="56"/>
      <c r="R32" s="56"/>
      <c r="S32" s="56"/>
      <c r="T32" s="56"/>
      <c r="U32" s="56"/>
      <c r="V32" s="56" t="str">
        <f>IFERROR(__xludf.DUMMYFUNCTION("""COMPUTED_VALUE"""),"●")</f>
        <v>●</v>
      </c>
      <c r="W32" s="56"/>
      <c r="X32" s="56"/>
      <c r="Y32" s="56"/>
      <c r="Z32" s="56" t="str">
        <f>IFERROR(__xludf.DUMMYFUNCTION("""COMPUTED_VALUE"""),"●")</f>
        <v>●</v>
      </c>
    </row>
    <row r="33">
      <c r="A33" s="56"/>
      <c r="B33" s="56"/>
      <c r="C33" s="56" t="str">
        <f>IFERROR(__xludf.DUMMYFUNCTION("""COMPUTED_VALUE"""),"몽블랑 240g")</f>
        <v>몽블랑 240g</v>
      </c>
      <c r="D33" s="56">
        <f>IFERROR(__xludf.DUMMYFUNCTION("""COMPUTED_VALUE"""),240.0)</f>
        <v>240</v>
      </c>
      <c r="E33" s="56" t="str">
        <f>IFERROR(__xludf.DUMMYFUNCTION("""COMPUTED_VALUE"""),"몽블랑")</f>
        <v>몽블랑</v>
      </c>
      <c r="F33" s="56"/>
      <c r="G33" s="56" t="str">
        <f>IFERROR(__xludf.DUMMYFUNCTION("""COMPUTED_VALUE"""),"국전(939*636)")</f>
        <v>국전(939*636)</v>
      </c>
      <c r="H33" s="57">
        <f>IFERROR(__xludf.DUMMYFUNCTION("""COMPUTED_VALUE"""),284400.0)</f>
        <v>284400</v>
      </c>
      <c r="I33" s="58">
        <f>IFERROR(__xludf.DUMMYFUNCTION("""COMPUTED_VALUE"""),142.2)</f>
        <v>142.2</v>
      </c>
      <c r="J33" s="56"/>
      <c r="K33" s="56" t="str">
        <f>IFERROR(__xludf.DUMMYFUNCTION("""COMPUTED_VALUE"""),"316x467")</f>
        <v>316x467</v>
      </c>
      <c r="L33" s="56" t="str">
        <f>IFERROR(__xludf.DUMMYFUNCTION("""COMPUTED_VALUE"""),"●")</f>
        <v>●</v>
      </c>
      <c r="M33" s="56"/>
      <c r="N33" s="56" t="str">
        <f>IFERROR(__xludf.DUMMYFUNCTION("""COMPUTED_VALUE"""),"●")</f>
        <v>●</v>
      </c>
      <c r="O33" s="56" t="str">
        <f>IFERROR(__xludf.DUMMYFUNCTION("""COMPUTED_VALUE"""),"●")</f>
        <v>●</v>
      </c>
      <c r="P33" s="56" t="str">
        <f>IFERROR(__xludf.DUMMYFUNCTION("""COMPUTED_VALUE"""),"●")</f>
        <v>●</v>
      </c>
      <c r="Q33" s="56"/>
      <c r="R33" s="56"/>
      <c r="S33" s="56"/>
      <c r="T33" s="56" t="str">
        <f>IFERROR(__xludf.DUMMYFUNCTION("""COMPUTED_VALUE"""),"●")</f>
        <v>●</v>
      </c>
      <c r="U33" s="56"/>
      <c r="V33" s="56" t="str">
        <f>IFERROR(__xludf.DUMMYFUNCTION("""COMPUTED_VALUE"""),"●")</f>
        <v>●</v>
      </c>
      <c r="W33" s="56"/>
      <c r="X33" s="56"/>
      <c r="Y33" s="56"/>
      <c r="Z33" s="56"/>
    </row>
    <row r="34">
      <c r="A34" s="56"/>
      <c r="B34" s="56"/>
      <c r="C34" s="56" t="str">
        <f>IFERROR(__xludf.DUMMYFUNCTION("""COMPUTED_VALUE"""),"아코팩(웜화이트) 250g")</f>
        <v>아코팩(웜화이트) 250g</v>
      </c>
      <c r="D34" s="56">
        <f>IFERROR(__xludf.DUMMYFUNCTION("""COMPUTED_VALUE"""),250.0)</f>
        <v>250</v>
      </c>
      <c r="E34" s="56" t="str">
        <f>IFERROR(__xludf.DUMMYFUNCTION("""COMPUTED_VALUE"""),"아코팩")</f>
        <v>아코팩</v>
      </c>
      <c r="F34" s="56" t="str">
        <f>IFERROR(__xludf.DUMMYFUNCTION("""COMPUTED_VALUE"""),"웜화이트")</f>
        <v>웜화이트</v>
      </c>
      <c r="G34" s="56" t="str">
        <f>IFERROR(__xludf.DUMMYFUNCTION("""COMPUTED_VALUE"""),"국전(939*636)")</f>
        <v>국전(939*636)</v>
      </c>
      <c r="H34" s="57">
        <f>IFERROR(__xludf.DUMMYFUNCTION("""COMPUTED_VALUE"""),252000.0)</f>
        <v>252000</v>
      </c>
      <c r="I34" s="58">
        <f>IFERROR(__xludf.DUMMYFUNCTION("""COMPUTED_VALUE"""),126.0)</f>
        <v>126</v>
      </c>
      <c r="J34" s="56"/>
      <c r="K34" s="56" t="str">
        <f>IFERROR(__xludf.DUMMYFUNCTION("""COMPUTED_VALUE"""),"316x467")</f>
        <v>316x467</v>
      </c>
      <c r="L34" s="56" t="str">
        <f>IFERROR(__xludf.DUMMYFUNCTION("""COMPUTED_VALUE"""),"●")</f>
        <v>●</v>
      </c>
      <c r="M34" s="56"/>
      <c r="N34" s="56" t="str">
        <f>IFERROR(__xludf.DUMMYFUNCTION("""COMPUTED_VALUE"""),"●")</f>
        <v>●</v>
      </c>
      <c r="O34" s="56" t="str">
        <f>IFERROR(__xludf.DUMMYFUNCTION("""COMPUTED_VALUE"""),"●")</f>
        <v>●</v>
      </c>
      <c r="P34" s="56" t="str">
        <f>IFERROR(__xludf.DUMMYFUNCTION("""COMPUTED_VALUE"""),"●")</f>
        <v>●</v>
      </c>
      <c r="Q34" s="56"/>
      <c r="R34" s="56"/>
      <c r="S34" s="56"/>
      <c r="T34" s="56"/>
      <c r="U34" s="56"/>
      <c r="V34" s="56"/>
      <c r="W34" s="56" t="str">
        <f>IFERROR(__xludf.DUMMYFUNCTION("""COMPUTED_VALUE"""),"●")</f>
        <v>●</v>
      </c>
      <c r="X34" s="56" t="str">
        <f>IFERROR(__xludf.DUMMYFUNCTION("""COMPUTED_VALUE"""),"●")</f>
        <v>●</v>
      </c>
      <c r="Y34" s="56" t="str">
        <f>IFERROR(__xludf.DUMMYFUNCTION("""COMPUTED_VALUE"""),"●")</f>
        <v>●</v>
      </c>
      <c r="Z34" s="56" t="str">
        <f>IFERROR(__xludf.DUMMYFUNCTION("""COMPUTED_VALUE"""),"●")</f>
        <v>●</v>
      </c>
    </row>
    <row r="35">
      <c r="A35" s="56"/>
      <c r="B35" s="56"/>
      <c r="C35" s="56" t="str">
        <f>IFERROR(__xludf.DUMMYFUNCTION("""COMPUTED_VALUE"""),"리사이클러스 240g")</f>
        <v>리사이클러스 240g</v>
      </c>
      <c r="D35" s="56">
        <f>IFERROR(__xludf.DUMMYFUNCTION("""COMPUTED_VALUE"""),240.0)</f>
        <v>240</v>
      </c>
      <c r="E35" s="56" t="str">
        <f>IFERROR(__xludf.DUMMYFUNCTION("""COMPUTED_VALUE"""),"리사이")</f>
        <v>리사이</v>
      </c>
      <c r="F35" s="56"/>
      <c r="G35" s="56" t="str">
        <f>IFERROR(__xludf.DUMMYFUNCTION("""COMPUTED_VALUE"""),"국전(939*636)")</f>
        <v>국전(939*636)</v>
      </c>
      <c r="H35" s="57">
        <f>IFERROR(__xludf.DUMMYFUNCTION("""COMPUTED_VALUE"""),305000.0)</f>
        <v>305000</v>
      </c>
      <c r="I35" s="58">
        <f>IFERROR(__xludf.DUMMYFUNCTION("""COMPUTED_VALUE"""),152.5)</f>
        <v>152.5</v>
      </c>
      <c r="J35" s="56"/>
      <c r="K35" s="56" t="str">
        <f>IFERROR(__xludf.DUMMYFUNCTION("""COMPUTED_VALUE"""),"316x467")</f>
        <v>316x467</v>
      </c>
      <c r="L35" s="56" t="str">
        <f>IFERROR(__xludf.DUMMYFUNCTION("""COMPUTED_VALUE"""),"●")</f>
        <v>●</v>
      </c>
      <c r="M35" s="56"/>
      <c r="N35" s="56" t="str">
        <f>IFERROR(__xludf.DUMMYFUNCTION("""COMPUTED_VALUE"""),"●")</f>
        <v>●</v>
      </c>
      <c r="O35" s="56" t="str">
        <f>IFERROR(__xludf.DUMMYFUNCTION("""COMPUTED_VALUE"""),"●")</f>
        <v>●</v>
      </c>
      <c r="P35" s="56" t="str">
        <f>IFERROR(__xludf.DUMMYFUNCTION("""COMPUTED_VALUE"""),"●")</f>
        <v>●</v>
      </c>
      <c r="Q35" s="56"/>
      <c r="R35" s="56"/>
      <c r="S35" s="56"/>
      <c r="T35" s="56"/>
      <c r="U35" s="56"/>
      <c r="V35" s="56"/>
      <c r="W35" s="56" t="str">
        <f>IFERROR(__xludf.DUMMYFUNCTION("""COMPUTED_VALUE"""),"●")</f>
        <v>●</v>
      </c>
      <c r="X35" s="56" t="str">
        <f>IFERROR(__xludf.DUMMYFUNCTION("""COMPUTED_VALUE"""),"●")</f>
        <v>●</v>
      </c>
      <c r="Y35" s="56" t="str">
        <f>IFERROR(__xludf.DUMMYFUNCTION("""COMPUTED_VALUE"""),"●")</f>
        <v>●</v>
      </c>
      <c r="Z35" s="56" t="str">
        <f>IFERROR(__xludf.DUMMYFUNCTION("""COMPUTED_VALUE"""),"●")</f>
        <v>●</v>
      </c>
    </row>
    <row r="36">
      <c r="A36" s="56"/>
      <c r="B36" s="56"/>
      <c r="C36" s="56" t="str">
        <f>IFERROR(__xludf.DUMMYFUNCTION("""COMPUTED_VALUE"""),"매쉬멜로우 233g")</f>
        <v>매쉬멜로우 233g</v>
      </c>
      <c r="D36" s="56">
        <f>IFERROR(__xludf.DUMMYFUNCTION("""COMPUTED_VALUE"""),233.0)</f>
        <v>233</v>
      </c>
      <c r="E36" s="56" t="str">
        <f>IFERROR(__xludf.DUMMYFUNCTION("""COMPUTED_VALUE"""),"매쉬멜")</f>
        <v>매쉬멜</v>
      </c>
      <c r="F36" s="56" t="str">
        <f>IFERROR(__xludf.DUMMYFUNCTION("""COMPUTED_VALUE"""),"백색(W), 두성")</f>
        <v>백색(W), 두성</v>
      </c>
      <c r="G36" s="56" t="str">
        <f>IFERROR(__xludf.DUMMYFUNCTION("""COMPUTED_VALUE"""),"국전(939*636)")</f>
        <v>국전(939*636)</v>
      </c>
      <c r="H36" s="57">
        <f>IFERROR(__xludf.DUMMYFUNCTION("""COMPUTED_VALUE"""),335500.0)</f>
        <v>335500</v>
      </c>
      <c r="I36" s="58">
        <f>IFERROR(__xludf.DUMMYFUNCTION("""COMPUTED_VALUE"""),167.75)</f>
        <v>167.75</v>
      </c>
      <c r="J36" s="56"/>
      <c r="K36" s="56" t="str">
        <f>IFERROR(__xludf.DUMMYFUNCTION("""COMPUTED_VALUE"""),"316x467")</f>
        <v>316x467</v>
      </c>
      <c r="L36" s="56" t="str">
        <f>IFERROR(__xludf.DUMMYFUNCTION("""COMPUTED_VALUE"""),"●")</f>
        <v>●</v>
      </c>
      <c r="M36" s="56"/>
      <c r="N36" s="56" t="str">
        <f>IFERROR(__xludf.DUMMYFUNCTION("""COMPUTED_VALUE"""),"●")</f>
        <v>●</v>
      </c>
      <c r="O36" s="56" t="str">
        <f>IFERROR(__xludf.DUMMYFUNCTION("""COMPUTED_VALUE"""),"●")</f>
        <v>●</v>
      </c>
      <c r="P36" s="56" t="str">
        <f>IFERROR(__xludf.DUMMYFUNCTION("""COMPUTED_VALUE"""),"●")</f>
        <v>●</v>
      </c>
      <c r="Q36" s="56"/>
      <c r="R36" s="56"/>
      <c r="S36" s="56"/>
      <c r="T36" s="56"/>
      <c r="U36" s="56"/>
      <c r="V36" s="56"/>
      <c r="W36" s="56" t="str">
        <f>IFERROR(__xludf.DUMMYFUNCTION("""COMPUTED_VALUE"""),"●")</f>
        <v>●</v>
      </c>
      <c r="X36" s="56" t="str">
        <f>IFERROR(__xludf.DUMMYFUNCTION("""COMPUTED_VALUE"""),"●")</f>
        <v>●</v>
      </c>
      <c r="Y36" s="56" t="str">
        <f>IFERROR(__xludf.DUMMYFUNCTION("""COMPUTED_VALUE"""),"●")</f>
        <v>●</v>
      </c>
      <c r="Z36" s="56" t="str">
        <f>IFERROR(__xludf.DUMMYFUNCTION("""COMPUTED_VALUE"""),"●")</f>
        <v>●</v>
      </c>
    </row>
    <row r="37">
      <c r="A37" s="56"/>
      <c r="B37" s="56"/>
      <c r="C37" s="56" t="str">
        <f>IFERROR(__xludf.DUMMYFUNCTION("""COMPUTED_VALUE"""),"린넨커버 216g")</f>
        <v>린넨커버 216g</v>
      </c>
      <c r="D37" s="56">
        <f>IFERROR(__xludf.DUMMYFUNCTION("""COMPUTED_VALUE"""),216.0)</f>
        <v>216</v>
      </c>
      <c r="E37" s="56" t="str">
        <f>IFERROR(__xludf.DUMMYFUNCTION("""COMPUTED_VALUE"""),"린넨커")</f>
        <v>린넨커</v>
      </c>
      <c r="F37" s="56" t="str">
        <f>IFERROR(__xludf.DUMMYFUNCTION("""COMPUTED_VALUE"""),"린넨커버 216g(클래식린넨)-솔라화이트")</f>
        <v>린넨커버 216g(클래식린넨)-솔라화이트</v>
      </c>
      <c r="G37" s="56" t="str">
        <f>IFERROR(__xludf.DUMMYFUNCTION("""COMPUTED_VALUE"""),"국전(939*636)")</f>
        <v>국전(939*636)</v>
      </c>
      <c r="H37" s="57">
        <f>IFERROR(__xludf.DUMMYFUNCTION("""COMPUTED_VALUE"""),590000.0)</f>
        <v>590000</v>
      </c>
      <c r="I37" s="58">
        <f>IFERROR(__xludf.DUMMYFUNCTION("""COMPUTED_VALUE"""),295.0)</f>
        <v>295</v>
      </c>
      <c r="J37" s="56"/>
      <c r="K37" s="56" t="str">
        <f>IFERROR(__xludf.DUMMYFUNCTION("""COMPUTED_VALUE"""),"316x467")</f>
        <v>316x467</v>
      </c>
      <c r="L37" s="56" t="str">
        <f>IFERROR(__xludf.DUMMYFUNCTION("""COMPUTED_VALUE"""),"●")</f>
        <v>●</v>
      </c>
      <c r="M37" s="56"/>
      <c r="N37" s="56" t="str">
        <f>IFERROR(__xludf.DUMMYFUNCTION("""COMPUTED_VALUE"""),"●")</f>
        <v>●</v>
      </c>
      <c r="O37" s="56" t="str">
        <f>IFERROR(__xludf.DUMMYFUNCTION("""COMPUTED_VALUE"""),"●")</f>
        <v>●</v>
      </c>
      <c r="P37" s="56" t="str">
        <f>IFERROR(__xludf.DUMMYFUNCTION("""COMPUTED_VALUE"""),"●")</f>
        <v>●</v>
      </c>
      <c r="Q37" s="56"/>
      <c r="R37" s="56"/>
      <c r="S37" s="56"/>
      <c r="T37" s="56"/>
      <c r="U37" s="56"/>
      <c r="V37" s="56"/>
      <c r="W37" s="56" t="str">
        <f>IFERROR(__xludf.DUMMYFUNCTION("""COMPUTED_VALUE"""),"●")</f>
        <v>●</v>
      </c>
      <c r="X37" s="56" t="str">
        <f>IFERROR(__xludf.DUMMYFUNCTION("""COMPUTED_VALUE"""),"●")</f>
        <v>●</v>
      </c>
      <c r="Y37" s="56" t="str">
        <f>IFERROR(__xludf.DUMMYFUNCTION("""COMPUTED_VALUE"""),"●")</f>
        <v>●</v>
      </c>
      <c r="Z37" s="56" t="str">
        <f>IFERROR(__xludf.DUMMYFUNCTION("""COMPUTED_VALUE"""),"●")</f>
        <v>●</v>
      </c>
    </row>
    <row r="38">
      <c r="A38" s="56"/>
      <c r="B38" s="56"/>
      <c r="C38" s="56" t="str">
        <f>IFERROR(__xludf.DUMMYFUNCTION("""COMPUTED_VALUE"""),"스타화이트(하이테크) 238g")</f>
        <v>스타화이트(하이테크) 238g</v>
      </c>
      <c r="D38" s="56">
        <f>IFERROR(__xludf.DUMMYFUNCTION("""COMPUTED_VALUE"""),238.0)</f>
        <v>238</v>
      </c>
      <c r="E38" s="56" t="str">
        <f>IFERROR(__xludf.DUMMYFUNCTION("""COMPUTED_VALUE"""),"스타화")</f>
        <v>스타화</v>
      </c>
      <c r="F38" s="56" t="str">
        <f>IFERROR(__xludf.DUMMYFUNCTION("""COMPUTED_VALUE"""),"HI-TECH(Tiara)")</f>
        <v>HI-TECH(Tiara)</v>
      </c>
      <c r="G38" s="56" t="str">
        <f>IFERROR(__xludf.DUMMYFUNCTION("""COMPUTED_VALUE"""),"국전(939*636)")</f>
        <v>국전(939*636)</v>
      </c>
      <c r="H38" s="57">
        <f>IFERROR(__xludf.DUMMYFUNCTION("""COMPUTED_VALUE"""),675000.0)</f>
        <v>675000</v>
      </c>
      <c r="I38" s="58">
        <f>IFERROR(__xludf.DUMMYFUNCTION("""COMPUTED_VALUE"""),337.5)</f>
        <v>337.5</v>
      </c>
      <c r="J38" s="56"/>
      <c r="K38" s="56" t="str">
        <f>IFERROR(__xludf.DUMMYFUNCTION("""COMPUTED_VALUE"""),"316x467")</f>
        <v>316x467</v>
      </c>
      <c r="L38" s="56" t="str">
        <f>IFERROR(__xludf.DUMMYFUNCTION("""COMPUTED_VALUE"""),"●")</f>
        <v>●</v>
      </c>
      <c r="M38" s="56"/>
      <c r="N38" s="56"/>
      <c r="O38" s="56" t="str">
        <f>IFERROR(__xludf.DUMMYFUNCTION("""COMPUTED_VALUE"""),"●")</f>
        <v>●</v>
      </c>
      <c r="P38" s="56" t="str">
        <f>IFERROR(__xludf.DUMMYFUNCTION("""COMPUTED_VALUE"""),"●")</f>
        <v>●</v>
      </c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 t="str">
        <f>IFERROR(__xludf.DUMMYFUNCTION("""COMPUTED_VALUE"""),"클래식 크래스트 스티플 270g")</f>
        <v>클래식 크래스트 스티플 270g</v>
      </c>
      <c r="D39" s="56">
        <f>IFERROR(__xludf.DUMMYFUNCTION("""COMPUTED_VALUE"""),270.0)</f>
        <v>270</v>
      </c>
      <c r="E39" s="56" t="str">
        <f>IFERROR(__xludf.DUMMYFUNCTION("""COMPUTED_VALUE"""),"클래식")</f>
        <v>클래식</v>
      </c>
      <c r="F39" s="56" t="str">
        <f>IFERROR(__xludf.DUMMYFUNCTION("""COMPUTED_VALUE"""),"클래식 스티플 솔라화이트 SA01 270g  연당 2500매(5절)")</f>
        <v>클래식 스티플 솔라화이트 SA01 270g  연당 2500매(5절)</v>
      </c>
      <c r="G39" s="56" t="str">
        <f>IFERROR(__xludf.DUMMYFUNCTION("""COMPUTED_VALUE"""),"4*6(1091*788)")</f>
        <v>4*6(1091*788)</v>
      </c>
      <c r="H39" s="57">
        <f>IFERROR(__xludf.DUMMYFUNCTION("""COMPUTED_VALUE"""),1200000.0)</f>
        <v>1200000</v>
      </c>
      <c r="I39" s="58">
        <f>IFERROR(__xludf.DUMMYFUNCTION("""COMPUTED_VALUE"""),480.0)</f>
        <v>480</v>
      </c>
      <c r="J39" s="56"/>
      <c r="K39" s="56" t="str">
        <f>IFERROR(__xludf.DUMMYFUNCTION("""COMPUTED_VALUE"""),"316x467")</f>
        <v>316x467</v>
      </c>
      <c r="L39" s="56" t="str">
        <f>IFERROR(__xludf.DUMMYFUNCTION("""COMPUTED_VALUE"""),"●")</f>
        <v>●</v>
      </c>
      <c r="M39" s="56"/>
      <c r="N39" s="56"/>
      <c r="O39" s="56" t="str">
        <f>IFERROR(__xludf.DUMMYFUNCTION("""COMPUTED_VALUE"""),"●")</f>
        <v>●</v>
      </c>
      <c r="P39" s="56" t="str">
        <f>IFERROR(__xludf.DUMMYFUNCTION("""COMPUTED_VALUE"""),"●")</f>
        <v>●</v>
      </c>
      <c r="Q39" s="56"/>
      <c r="R39" s="56"/>
      <c r="S39" s="56"/>
      <c r="T39" s="56"/>
      <c r="U39" s="56"/>
      <c r="V39" s="56"/>
      <c r="W39" s="56"/>
      <c r="X39" s="56"/>
      <c r="Y39" s="56" t="str">
        <f>IFERROR(__xludf.DUMMYFUNCTION("""COMPUTED_VALUE"""),"●")</f>
        <v>●</v>
      </c>
      <c r="Z39" s="56" t="str">
        <f>IFERROR(__xludf.DUMMYFUNCTION("""COMPUTED_VALUE"""),"●")</f>
        <v>●</v>
      </c>
    </row>
    <row r="40">
      <c r="A40" s="56"/>
      <c r="B40" s="56"/>
      <c r="C40" s="56" t="str">
        <f>IFERROR(__xludf.DUMMYFUNCTION("""COMPUTED_VALUE"""),"리브스디자인 250g")</f>
        <v>리브스디자인 250g</v>
      </c>
      <c r="D40" s="56">
        <f>IFERROR(__xludf.DUMMYFUNCTION("""COMPUTED_VALUE"""),250.0)</f>
        <v>250</v>
      </c>
      <c r="E40" s="56"/>
      <c r="F40" s="56" t="str">
        <f>IFERROR(__xludf.DUMMYFUNCTION("""COMPUTED_VALUE"""),"연당 2500매(5절)")</f>
        <v>연당 2500매(5절)</v>
      </c>
      <c r="G40" s="56" t="str">
        <f>IFERROR(__xludf.DUMMYFUNCTION("""COMPUTED_VALUE"""),"4*6(1091*788)")</f>
        <v>4*6(1091*788)</v>
      </c>
      <c r="H40" s="57">
        <f>IFERROR(__xludf.DUMMYFUNCTION("""COMPUTED_VALUE"""),1250000.0)</f>
        <v>1250000</v>
      </c>
      <c r="I40" s="58">
        <f>IFERROR(__xludf.DUMMYFUNCTION("""COMPUTED_VALUE"""),500.0)</f>
        <v>500</v>
      </c>
      <c r="J40" s="56"/>
      <c r="K40" s="56"/>
      <c r="L40" s="56"/>
      <c r="M40" s="56"/>
      <c r="N40" s="56"/>
      <c r="O40" s="56" t="str">
        <f>IFERROR(__xludf.DUMMYFUNCTION("""COMPUTED_VALUE"""),"●")</f>
        <v>●</v>
      </c>
      <c r="P40" s="56" t="str">
        <f>IFERROR(__xludf.DUMMYFUNCTION("""COMPUTED_VALUE"""),"●")</f>
        <v>●</v>
      </c>
      <c r="Q40" s="56"/>
      <c r="R40" s="56"/>
      <c r="S40" s="56"/>
      <c r="T40" s="56"/>
      <c r="U40" s="56"/>
      <c r="V40" s="56"/>
      <c r="W40" s="56"/>
      <c r="X40" s="56"/>
      <c r="Y40" s="56"/>
      <c r="Z40" s="56" t="str">
        <f>IFERROR(__xludf.DUMMYFUNCTION("""COMPUTED_VALUE"""),"●")</f>
        <v>●</v>
      </c>
    </row>
    <row r="41">
      <c r="A41" s="56"/>
      <c r="B41" s="56"/>
      <c r="C41" s="56" t="str">
        <f>IFERROR(__xludf.DUMMYFUNCTION("""COMPUTED_VALUE"""),"매직터치(백색) 250g")</f>
        <v>매직터치(백색) 250g</v>
      </c>
      <c r="D41" s="56">
        <f>IFERROR(__xludf.DUMMYFUNCTION("""COMPUTED_VALUE"""),250.0)</f>
        <v>250</v>
      </c>
      <c r="E41" s="56" t="str">
        <f>IFERROR(__xludf.DUMMYFUNCTION("""COMPUTED_VALUE"""),"매직터")</f>
        <v>매직터</v>
      </c>
      <c r="F41" s="56" t="str">
        <f>IFERROR(__xludf.DUMMYFUNCTION("""COMPUTED_VALUE"""),"매직터치 250g(H-백색)  연당 2500매(5절)")</f>
        <v>매직터치 250g(H-백색)  연당 2500매(5절)</v>
      </c>
      <c r="G41" s="56" t="str">
        <f>IFERROR(__xludf.DUMMYFUNCTION("""COMPUTED_VALUE"""),"4*6(1091*788)")</f>
        <v>4*6(1091*788)</v>
      </c>
      <c r="H41" s="57">
        <f>IFERROR(__xludf.DUMMYFUNCTION("""COMPUTED_VALUE"""),567160.0)</f>
        <v>567160</v>
      </c>
      <c r="I41" s="58">
        <f>IFERROR(__xludf.DUMMYFUNCTION("""COMPUTED_VALUE"""),226.864)</f>
        <v>226.864</v>
      </c>
      <c r="J41" s="56"/>
      <c r="K41" s="56" t="str">
        <f>IFERROR(__xludf.DUMMYFUNCTION("""COMPUTED_VALUE"""),"316x467")</f>
        <v>316x467</v>
      </c>
      <c r="L41" s="56" t="str">
        <f>IFERROR(__xludf.DUMMYFUNCTION("""COMPUTED_VALUE"""),"●")</f>
        <v>●</v>
      </c>
      <c r="M41" s="56"/>
      <c r="N41" s="56"/>
      <c r="O41" s="56"/>
      <c r="P41" s="56" t="str">
        <f>IFERROR(__xludf.DUMMYFUNCTION("""COMPUTED_VALUE"""),"●")</f>
        <v>●</v>
      </c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 t="str">
        <f>IFERROR(__xludf.DUMMYFUNCTION("""COMPUTED_VALUE"""),"켄도 250g")</f>
        <v>켄도 250g</v>
      </c>
      <c r="D42" s="56">
        <f>IFERROR(__xludf.DUMMYFUNCTION("""COMPUTED_VALUE"""),250.0)</f>
        <v>250</v>
      </c>
      <c r="E42" s="56" t="str">
        <f>IFERROR(__xludf.DUMMYFUNCTION("""COMPUTED_VALUE"""),"켄도")</f>
        <v>켄도</v>
      </c>
      <c r="F42" s="56" t="str">
        <f>IFERROR(__xludf.DUMMYFUNCTION("""COMPUTED_VALUE"""),"화이트")</f>
        <v>화이트</v>
      </c>
      <c r="G42" s="56" t="str">
        <f>IFERROR(__xludf.DUMMYFUNCTION("""COMPUTED_VALUE"""),"4*6(1091*788)")</f>
        <v>4*6(1091*788)</v>
      </c>
      <c r="H42" s="57">
        <f>IFERROR(__xludf.DUMMYFUNCTION("""COMPUTED_VALUE"""),610000.0)</f>
        <v>610000</v>
      </c>
      <c r="I42" s="58">
        <f>IFERROR(__xludf.DUMMYFUNCTION("""COMPUTED_VALUE"""),244.0)</f>
        <v>244</v>
      </c>
      <c r="J42" s="56"/>
      <c r="K42" s="56" t="str">
        <f>IFERROR(__xludf.DUMMYFUNCTION("""COMPUTED_VALUE"""),"316x467")</f>
        <v>316x467</v>
      </c>
      <c r="L42" s="56" t="str">
        <f>IFERROR(__xludf.DUMMYFUNCTION("""COMPUTED_VALUE"""),"●")</f>
        <v>●</v>
      </c>
      <c r="M42" s="56"/>
      <c r="N42" s="56"/>
      <c r="O42" s="56"/>
      <c r="P42" s="56" t="str">
        <f>IFERROR(__xludf.DUMMYFUNCTION("""COMPUTED_VALUE"""),"●")</f>
        <v>●</v>
      </c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 t="str">
        <f>IFERROR(__xludf.DUMMYFUNCTION("""COMPUTED_VALUE"""),"띤또레또 200g")</f>
        <v>띤또레또 200g</v>
      </c>
      <c r="D43" s="56">
        <f>IFERROR(__xludf.DUMMYFUNCTION("""COMPUTED_VALUE"""),200.0)</f>
        <v>200</v>
      </c>
      <c r="E43" s="56" t="str">
        <f>IFERROR(__xludf.DUMMYFUNCTION("""COMPUTED_VALUE"""),"띤또")</f>
        <v>띤또</v>
      </c>
      <c r="F43" s="56" t="str">
        <f>IFERROR(__xludf.DUMMYFUNCTION("""COMPUTED_VALUE"""),"띤또레또 200g(디쎈) 500매")</f>
        <v>띤또레또 200g(디쎈) 500매</v>
      </c>
      <c r="G43" s="56" t="str">
        <f>IFERROR(__xludf.DUMMYFUNCTION("""COMPUTED_VALUE"""),"464*320")</f>
        <v>464*320</v>
      </c>
      <c r="H43" s="57">
        <f>IFERROR(__xludf.DUMMYFUNCTION("""COMPUTED_VALUE"""),122500.0)</f>
        <v>122500</v>
      </c>
      <c r="I43" s="58">
        <f>IFERROR(__xludf.DUMMYFUNCTION("""COMPUTED_VALUE"""),245.0)</f>
        <v>245</v>
      </c>
      <c r="J43" s="56"/>
      <c r="K43" s="56" t="str">
        <f>IFERROR(__xludf.DUMMYFUNCTION("""COMPUTED_VALUE"""),"464x320")</f>
        <v>464x320</v>
      </c>
      <c r="L43" s="56" t="str">
        <f>IFERROR(__xludf.DUMMYFUNCTION("""COMPUTED_VALUE"""),"●")</f>
        <v>●</v>
      </c>
      <c r="M43" s="56"/>
      <c r="N43" s="56" t="str">
        <f>IFERROR(__xludf.DUMMYFUNCTION("""COMPUTED_VALUE"""),"●")</f>
        <v>●</v>
      </c>
      <c r="O43" s="56" t="str">
        <f>IFERROR(__xludf.DUMMYFUNCTION("""COMPUTED_VALUE"""),"●")</f>
        <v>●</v>
      </c>
      <c r="P43" s="56" t="str">
        <f>IFERROR(__xludf.DUMMYFUNCTION("""COMPUTED_VALUE"""),"●")</f>
        <v>●</v>
      </c>
      <c r="Q43" s="56"/>
      <c r="R43" s="56"/>
      <c r="S43" s="56"/>
      <c r="T43" s="56"/>
      <c r="U43" s="56"/>
      <c r="V43" s="56"/>
      <c r="W43" s="56" t="str">
        <f>IFERROR(__xludf.DUMMYFUNCTION("""COMPUTED_VALUE"""),"●")</f>
        <v>●</v>
      </c>
      <c r="X43" s="56"/>
      <c r="Y43" s="56" t="str">
        <f>IFERROR(__xludf.DUMMYFUNCTION("""COMPUTED_VALUE"""),"●")</f>
        <v>●</v>
      </c>
      <c r="Z43" s="56" t="str">
        <f>IFERROR(__xludf.DUMMYFUNCTION("""COMPUTED_VALUE"""),"●")</f>
        <v>●</v>
      </c>
    </row>
    <row r="44">
      <c r="A44" s="56"/>
      <c r="B44" s="56"/>
      <c r="C44" s="56" t="str">
        <f>IFERROR(__xludf.DUMMYFUNCTION("""COMPUTED_VALUE"""),"띤또레또 250g")</f>
        <v>띤또레또 250g</v>
      </c>
      <c r="D44" s="56">
        <f>IFERROR(__xludf.DUMMYFUNCTION("""COMPUTED_VALUE"""),250.0)</f>
        <v>250</v>
      </c>
      <c r="E44" s="56" t="str">
        <f>IFERROR(__xludf.DUMMYFUNCTION("""COMPUTED_VALUE"""),"띤또")</f>
        <v>띤또</v>
      </c>
      <c r="F44" s="56" t="str">
        <f>IFERROR(__xludf.DUMMYFUNCTION("""COMPUTED_VALUE"""),"띤또레또 250g(디쎈) 500매")</f>
        <v>띤또레또 250g(디쎈) 500매</v>
      </c>
      <c r="G44" s="56" t="str">
        <f>IFERROR(__xludf.DUMMYFUNCTION("""COMPUTED_VALUE"""),"464*320")</f>
        <v>464*320</v>
      </c>
      <c r="H44" s="57">
        <f>IFERROR(__xludf.DUMMYFUNCTION("""COMPUTED_VALUE"""),153000.0)</f>
        <v>153000</v>
      </c>
      <c r="I44" s="58">
        <f>IFERROR(__xludf.DUMMYFUNCTION("""COMPUTED_VALUE"""),306.0)</f>
        <v>306</v>
      </c>
      <c r="J44" s="56"/>
      <c r="K44" s="56" t="str">
        <f>IFERROR(__xludf.DUMMYFUNCTION("""COMPUTED_VALUE"""),"464x320")</f>
        <v>464x320</v>
      </c>
      <c r="L44" s="56" t="str">
        <f>IFERROR(__xludf.DUMMYFUNCTION("""COMPUTED_VALUE"""),"●")</f>
        <v>●</v>
      </c>
      <c r="M44" s="56"/>
      <c r="N44" s="56"/>
      <c r="O44" s="56" t="str">
        <f>IFERROR(__xludf.DUMMYFUNCTION("""COMPUTED_VALUE"""),"●")</f>
        <v>●</v>
      </c>
      <c r="P44" s="56" t="str">
        <f>IFERROR(__xludf.DUMMYFUNCTION("""COMPUTED_VALUE"""),"●")</f>
        <v>●</v>
      </c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 t="str">
        <f>IFERROR(__xludf.DUMMYFUNCTION("""COMPUTED_VALUE"""),"한지 170g")</f>
        <v>한지 170g</v>
      </c>
      <c r="D45" s="56">
        <f>IFERROR(__xludf.DUMMYFUNCTION("""COMPUTED_VALUE"""),170.0)</f>
        <v>170</v>
      </c>
      <c r="E45" s="56" t="str">
        <f>IFERROR(__xludf.DUMMYFUNCTION("""COMPUTED_VALUE"""),"한지")</f>
        <v>한지</v>
      </c>
      <c r="F45" s="56" t="str">
        <f>IFERROR(__xludf.DUMMYFUNCTION("""COMPUTED_VALUE"""),"고궁의아침170g(인견한지 NC01) 연당 2500매(5절)")</f>
        <v>고궁의아침170g(인견한지 NC01) 연당 2500매(5절)</v>
      </c>
      <c r="G45" s="56" t="str">
        <f>IFERROR(__xludf.DUMMYFUNCTION("""COMPUTED_VALUE"""),"4*6(1091*788)")</f>
        <v>4*6(1091*788)</v>
      </c>
      <c r="H45" s="57">
        <f>IFERROR(__xludf.DUMMYFUNCTION("""COMPUTED_VALUE"""),825000.0)</f>
        <v>825000</v>
      </c>
      <c r="I45" s="58">
        <f>IFERROR(__xludf.DUMMYFUNCTION("""COMPUTED_VALUE"""),330.0)</f>
        <v>330</v>
      </c>
      <c r="J45" s="56"/>
      <c r="K45" s="56" t="str">
        <f>IFERROR(__xludf.DUMMYFUNCTION("""COMPUTED_VALUE"""),"316x467")</f>
        <v>316x467</v>
      </c>
      <c r="L45" s="56" t="str">
        <f>IFERROR(__xludf.DUMMYFUNCTION("""COMPUTED_VALUE"""),"●")</f>
        <v>●</v>
      </c>
      <c r="M45" s="56"/>
      <c r="N45" s="56" t="str">
        <f>IFERROR(__xludf.DUMMYFUNCTION("""COMPUTED_VALUE"""),"●")</f>
        <v>●</v>
      </c>
      <c r="O45" s="56" t="str">
        <f>IFERROR(__xludf.DUMMYFUNCTION("""COMPUTED_VALUE"""),"●")</f>
        <v>●</v>
      </c>
      <c r="P45" s="56" t="str">
        <f>IFERROR(__xludf.DUMMYFUNCTION("""COMPUTED_VALUE"""),"●")</f>
        <v>●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 t="str">
        <f>IFERROR(__xludf.DUMMYFUNCTION("""COMPUTED_VALUE"""),"스코트랜드 220g")</f>
        <v>스코트랜드 220g</v>
      </c>
      <c r="D46" s="56">
        <f>IFERROR(__xludf.DUMMYFUNCTION("""COMPUTED_VALUE"""),220.0)</f>
        <v>220</v>
      </c>
      <c r="E46" s="56" t="str">
        <f>IFERROR(__xludf.DUMMYFUNCTION("""COMPUTED_VALUE"""),"스코트")</f>
        <v>스코트</v>
      </c>
      <c r="F46" s="56" t="str">
        <f>IFERROR(__xludf.DUMMYFUNCTION("""COMPUTED_VALUE"""),"연당 2500매(5절)")</f>
        <v>연당 2500매(5절)</v>
      </c>
      <c r="G46" s="56" t="str">
        <f>IFERROR(__xludf.DUMMYFUNCTION("""COMPUTED_VALUE"""),"4*6(1091*788)")</f>
        <v>4*6(1091*788)</v>
      </c>
      <c r="H46" s="57">
        <f>IFERROR(__xludf.DUMMYFUNCTION("""COMPUTED_VALUE"""),950000.0)</f>
        <v>950000</v>
      </c>
      <c r="I46" s="58">
        <f>IFERROR(__xludf.DUMMYFUNCTION("""COMPUTED_VALUE"""),380.0)</f>
        <v>380</v>
      </c>
      <c r="J46" s="56"/>
      <c r="K46" s="56" t="str">
        <f>IFERROR(__xludf.DUMMYFUNCTION("""COMPUTED_VALUE"""),"316x467")</f>
        <v>316x467</v>
      </c>
      <c r="L46" s="56" t="str">
        <f>IFERROR(__xludf.DUMMYFUNCTION("""COMPUTED_VALUE"""),"●")</f>
        <v>●</v>
      </c>
      <c r="M46" s="56"/>
      <c r="N46" s="56"/>
      <c r="O46" s="56" t="str">
        <f>IFERROR(__xludf.DUMMYFUNCTION("""COMPUTED_VALUE"""),"●")</f>
        <v>●</v>
      </c>
      <c r="P46" s="56" t="str">
        <f>IFERROR(__xludf.DUMMYFUNCTION("""COMPUTED_VALUE"""),"●")</f>
        <v>●</v>
      </c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 t="str">
        <f>IFERROR(__xludf.DUMMYFUNCTION("""COMPUTED_VALUE"""),"스타드림(다이아몬드) 240g")</f>
        <v>스타드림(다이아몬드) 240g</v>
      </c>
      <c r="D47" s="56">
        <f>IFERROR(__xludf.DUMMYFUNCTION("""COMPUTED_VALUE"""),240.0)</f>
        <v>240</v>
      </c>
      <c r="E47" s="56" t="str">
        <f>IFERROR(__xludf.DUMMYFUNCTION("""COMPUTED_VALUE"""),"펄다이")</f>
        <v>펄다이</v>
      </c>
      <c r="F47" s="56" t="str">
        <f>IFERROR(__xludf.DUMMYFUNCTION("""COMPUTED_VALUE"""),"스타드림(다이아몬드-252) 240g")</f>
        <v>스타드림(다이아몬드-252) 240g</v>
      </c>
      <c r="G47" s="56" t="str">
        <f>IFERROR(__xludf.DUMMYFUNCTION("""COMPUTED_VALUE"""),"국전(939*636)")</f>
        <v>국전(939*636)</v>
      </c>
      <c r="H47" s="57">
        <f>IFERROR(__xludf.DUMMYFUNCTION("""COMPUTED_VALUE"""),815000.0)</f>
        <v>815000</v>
      </c>
      <c r="I47" s="58">
        <f>IFERROR(__xludf.DUMMYFUNCTION("""COMPUTED_VALUE"""),407.5)</f>
        <v>407.5</v>
      </c>
      <c r="J47" s="56"/>
      <c r="K47" s="56" t="str">
        <f>IFERROR(__xludf.DUMMYFUNCTION("""COMPUTED_VALUE"""),"316x467")</f>
        <v>316x467</v>
      </c>
      <c r="L47" s="56" t="str">
        <f>IFERROR(__xludf.DUMMYFUNCTION("""COMPUTED_VALUE"""),"●")</f>
        <v>●</v>
      </c>
      <c r="M47" s="56"/>
      <c r="N47" s="56"/>
      <c r="O47" s="56"/>
      <c r="P47" s="56" t="str">
        <f>IFERROR(__xludf.DUMMYFUNCTION("""COMPUTED_VALUE"""),"●")</f>
        <v>●</v>
      </c>
      <c r="Q47" s="56"/>
      <c r="R47" s="56"/>
      <c r="S47" s="56"/>
      <c r="T47" s="56"/>
      <c r="U47" s="56"/>
      <c r="V47" s="56"/>
      <c r="W47" s="56" t="str">
        <f>IFERROR(__xludf.DUMMYFUNCTION("""COMPUTED_VALUE"""),"●")</f>
        <v>●</v>
      </c>
      <c r="X47" s="56" t="str">
        <f>IFERROR(__xludf.DUMMYFUNCTION("""COMPUTED_VALUE"""),"●")</f>
        <v>●</v>
      </c>
      <c r="Y47" s="56" t="str">
        <f>IFERROR(__xludf.DUMMYFUNCTION("""COMPUTED_VALUE"""),"●")</f>
        <v>●</v>
      </c>
      <c r="Z47" s="56" t="str">
        <f>IFERROR(__xludf.DUMMYFUNCTION("""COMPUTED_VALUE"""),"●")</f>
        <v>●</v>
      </c>
    </row>
    <row r="48">
      <c r="A48" s="56"/>
      <c r="B48" s="56"/>
      <c r="C48" s="56" t="str">
        <f>IFERROR(__xludf.DUMMYFUNCTION("""COMPUTED_VALUE"""),"스타드림(실버) 240g")</f>
        <v>스타드림(실버) 240g</v>
      </c>
      <c r="D48" s="56">
        <f>IFERROR(__xludf.DUMMYFUNCTION("""COMPUTED_VALUE"""),240.0)</f>
        <v>240</v>
      </c>
      <c r="E48" s="56" t="str">
        <f>IFERROR(__xludf.DUMMYFUNCTION("""COMPUTED_VALUE"""),"펄실버")</f>
        <v>펄실버</v>
      </c>
      <c r="F48" s="56" t="str">
        <f>IFERROR(__xludf.DUMMYFUNCTION("""COMPUTED_VALUE"""),"스타드림(실버-240) 240g")</f>
        <v>스타드림(실버-240) 240g</v>
      </c>
      <c r="G48" s="56" t="str">
        <f>IFERROR(__xludf.DUMMYFUNCTION("""COMPUTED_VALUE"""),"국전(939*636)")</f>
        <v>국전(939*636)</v>
      </c>
      <c r="H48" s="57">
        <f>IFERROR(__xludf.DUMMYFUNCTION("""COMPUTED_VALUE"""),850000.0)</f>
        <v>850000</v>
      </c>
      <c r="I48" s="58">
        <f>IFERROR(__xludf.DUMMYFUNCTION("""COMPUTED_VALUE"""),425.0)</f>
        <v>425</v>
      </c>
      <c r="J48" s="56"/>
      <c r="K48" s="56" t="str">
        <f>IFERROR(__xludf.DUMMYFUNCTION("""COMPUTED_VALUE"""),"316x467")</f>
        <v>316x467</v>
      </c>
      <c r="L48" s="56" t="str">
        <f>IFERROR(__xludf.DUMMYFUNCTION("""COMPUTED_VALUE"""),"●")</f>
        <v>●</v>
      </c>
      <c r="M48" s="56"/>
      <c r="N48" s="56"/>
      <c r="O48" s="56"/>
      <c r="P48" s="56" t="str">
        <f>IFERROR(__xludf.DUMMYFUNCTION("""COMPUTED_VALUE"""),"●")</f>
        <v>●</v>
      </c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 t="str">
        <f>IFERROR(__xludf.DUMMYFUNCTION("""COMPUTED_VALUE"""),"스타드림(골드) 240g")</f>
        <v>스타드림(골드) 240g</v>
      </c>
      <c r="D49" s="56">
        <f>IFERROR(__xludf.DUMMYFUNCTION("""COMPUTED_VALUE"""),240.0)</f>
        <v>240</v>
      </c>
      <c r="E49" s="56" t="str">
        <f>IFERROR(__xludf.DUMMYFUNCTION("""COMPUTED_VALUE"""),"펄골드")</f>
        <v>펄골드</v>
      </c>
      <c r="F49" s="56" t="str">
        <f>IFERROR(__xludf.DUMMYFUNCTION("""COMPUTED_VALUE"""),"스타드림(골드-243) 240g")</f>
        <v>스타드림(골드-243) 240g</v>
      </c>
      <c r="G49" s="56" t="str">
        <f>IFERROR(__xludf.DUMMYFUNCTION("""COMPUTED_VALUE"""),"국전(939*636)")</f>
        <v>국전(939*636)</v>
      </c>
      <c r="H49" s="57">
        <f>IFERROR(__xludf.DUMMYFUNCTION("""COMPUTED_VALUE"""),870000.0)</f>
        <v>870000</v>
      </c>
      <c r="I49" s="58">
        <f>IFERROR(__xludf.DUMMYFUNCTION("""COMPUTED_VALUE"""),435.0)</f>
        <v>435</v>
      </c>
      <c r="J49" s="56"/>
      <c r="K49" s="56" t="str">
        <f>IFERROR(__xludf.DUMMYFUNCTION("""COMPUTED_VALUE"""),"316x467")</f>
        <v>316x467</v>
      </c>
      <c r="L49" s="56" t="str">
        <f>IFERROR(__xludf.DUMMYFUNCTION("""COMPUTED_VALUE"""),"●")</f>
        <v>●</v>
      </c>
      <c r="M49" s="56"/>
      <c r="N49" s="56"/>
      <c r="O49" s="56"/>
      <c r="P49" s="56" t="str">
        <f>IFERROR(__xludf.DUMMYFUNCTION("""COMPUTED_VALUE"""),"●")</f>
        <v>●</v>
      </c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 t="str">
        <f>IFERROR(__xludf.DUMMYFUNCTION("""COMPUTED_VALUE"""),"스타드림(로즈쿼츠) 240g")</f>
        <v>스타드림(로즈쿼츠) 240g</v>
      </c>
      <c r="D50" s="56">
        <f>IFERROR(__xludf.DUMMYFUNCTION("""COMPUTED_VALUE"""),240.0)</f>
        <v>240</v>
      </c>
      <c r="E50" s="56" t="str">
        <f>IFERROR(__xludf.DUMMYFUNCTION("""COMPUTED_VALUE"""),"펄핑크")</f>
        <v>펄핑크</v>
      </c>
      <c r="F50" s="56" t="str">
        <f>IFERROR(__xludf.DUMMYFUNCTION("""COMPUTED_VALUE"""),"스타드림(로즈쿼츠-265) 240g 연당 2500매(5절)")</f>
        <v>스타드림(로즈쿼츠-265) 240g 연당 2500매(5절)</v>
      </c>
      <c r="G50" s="56" t="str">
        <f>IFERROR(__xludf.DUMMYFUNCTION("""COMPUTED_VALUE"""),"4*6(1091*788)")</f>
        <v>4*6(1091*788)</v>
      </c>
      <c r="H50" s="57">
        <f>IFERROR(__xludf.DUMMYFUNCTION("""COMPUTED_VALUE"""),1310000.0)</f>
        <v>1310000</v>
      </c>
      <c r="I50" s="58">
        <f>IFERROR(__xludf.DUMMYFUNCTION("""COMPUTED_VALUE"""),524.0)</f>
        <v>524</v>
      </c>
      <c r="J50" s="56"/>
      <c r="K50" s="56" t="str">
        <f>IFERROR(__xludf.DUMMYFUNCTION("""COMPUTED_VALUE"""),"316x467")</f>
        <v>316x467</v>
      </c>
      <c r="L50" s="56" t="str">
        <f>IFERROR(__xludf.DUMMYFUNCTION("""COMPUTED_VALUE"""),"●")</f>
        <v>●</v>
      </c>
      <c r="M50" s="56"/>
      <c r="N50" s="56"/>
      <c r="O50" s="56"/>
      <c r="P50" s="56" t="str">
        <f>IFERROR(__xludf.DUMMYFUNCTION("""COMPUTED_VALUE"""),"●")</f>
        <v>●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 t="str">
        <f>IFERROR(__xludf.DUMMYFUNCTION("""COMPUTED_VALUE"""),"3절")</f>
        <v>3절</v>
      </c>
      <c r="C51" s="56" t="str">
        <f>IFERROR(__xludf.DUMMYFUNCTION("""COMPUTED_VALUE"""),"아트지 150g (3절)")</f>
        <v>아트지 150g (3절)</v>
      </c>
      <c r="D51" s="56">
        <f>IFERROR(__xludf.DUMMYFUNCTION("""COMPUTED_VALUE"""),150.0)</f>
        <v>150</v>
      </c>
      <c r="E51" s="56" t="str">
        <f>IFERROR(__xludf.DUMMYFUNCTION("""COMPUTED_VALUE"""),"아트")</f>
        <v>아트</v>
      </c>
      <c r="F51" s="56" t="str">
        <f>IFERROR(__xludf.DUMMYFUNCTION("""COMPUTED_VALUE"""),"연당 1500(3절)")</f>
        <v>연당 1500(3절)</v>
      </c>
      <c r="G51" s="56" t="str">
        <f>IFERROR(__xludf.DUMMYFUNCTION("""COMPUTED_VALUE"""),"4*6(1091*788)")</f>
        <v>4*6(1091*788)</v>
      </c>
      <c r="H51" s="57">
        <f>IFERROR(__xludf.DUMMYFUNCTION("""COMPUTED_VALUE"""),134310.0)</f>
        <v>134310</v>
      </c>
      <c r="I51" s="56"/>
      <c r="J51" s="58">
        <f>IFERROR(__xludf.DUMMYFUNCTION("""COMPUTED_VALUE"""),89.54)</f>
        <v>89.54</v>
      </c>
      <c r="K51" s="56" t="str">
        <f>IFERROR(__xludf.DUMMYFUNCTION("""COMPUTED_VALUE"""),"330x660")</f>
        <v>330x660</v>
      </c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 t="str">
        <f>IFERROR(__xludf.DUMMYFUNCTION("""COMPUTED_VALUE"""),"스노우지 250g (3절)")</f>
        <v>스노우지 250g (3절)</v>
      </c>
      <c r="D52" s="56">
        <f>IFERROR(__xludf.DUMMYFUNCTION("""COMPUTED_VALUE"""),250.0)</f>
        <v>250</v>
      </c>
      <c r="E52" s="56" t="str">
        <f>IFERROR(__xludf.DUMMYFUNCTION("""COMPUTED_VALUE"""),"스노우")</f>
        <v>스노우</v>
      </c>
      <c r="F52" s="56" t="str">
        <f>IFERROR(__xludf.DUMMYFUNCTION("""COMPUTED_VALUE"""),"연당 1500(3절)")</f>
        <v>연당 1500(3절)</v>
      </c>
      <c r="G52" s="56" t="str">
        <f>IFERROR(__xludf.DUMMYFUNCTION("""COMPUTED_VALUE"""),"4*6(1091*788)")</f>
        <v>4*6(1091*788)</v>
      </c>
      <c r="H52" s="57">
        <f>IFERROR(__xludf.DUMMYFUNCTION("""COMPUTED_VALUE"""),223830.0)</f>
        <v>223830</v>
      </c>
      <c r="I52" s="56"/>
      <c r="J52" s="58">
        <f>IFERROR(__xludf.DUMMYFUNCTION("""COMPUTED_VALUE"""),149.22)</f>
        <v>149.22</v>
      </c>
      <c r="K52" s="56" t="str">
        <f>IFERROR(__xludf.DUMMYFUNCTION("""COMPUTED_VALUE"""),"330x660")</f>
        <v>330x660</v>
      </c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 t="str">
        <f>IFERROR(__xludf.DUMMYFUNCTION("""COMPUTED_VALUE"""),"몽블랑 130g (3절)")</f>
        <v>몽블랑 130g (3절)</v>
      </c>
      <c r="D53" s="56">
        <f>IFERROR(__xludf.DUMMYFUNCTION("""COMPUTED_VALUE"""),130.0)</f>
        <v>130</v>
      </c>
      <c r="E53" s="56" t="str">
        <f>IFERROR(__xludf.DUMMYFUNCTION("""COMPUTED_VALUE"""),"몽블랑")</f>
        <v>몽블랑</v>
      </c>
      <c r="F53" s="56" t="str">
        <f>IFERROR(__xludf.DUMMYFUNCTION("""COMPUTED_VALUE"""),"연당 1500(3절)")</f>
        <v>연당 1500(3절)</v>
      </c>
      <c r="G53" s="56" t="str">
        <f>IFERROR(__xludf.DUMMYFUNCTION("""COMPUTED_VALUE"""),"4*6(1091*788)")</f>
        <v>4*6(1091*788)</v>
      </c>
      <c r="H53" s="57">
        <f>IFERROR(__xludf.DUMMYFUNCTION("""COMPUTED_VALUE"""),221760.0)</f>
        <v>221760</v>
      </c>
      <c r="I53" s="56"/>
      <c r="J53" s="58">
        <f>IFERROR(__xludf.DUMMYFUNCTION("""COMPUTED_VALUE"""),147.84)</f>
        <v>147.84</v>
      </c>
      <c r="K53" s="56" t="str">
        <f>IFERROR(__xludf.DUMMYFUNCTION("""COMPUTED_VALUE"""),"330x660")</f>
        <v>330x660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 t="str">
        <f>IFERROR(__xludf.DUMMYFUNCTION("""COMPUTED_VALUE"""),"몽블랑 190g (3절)")</f>
        <v>몽블랑 190g (3절)</v>
      </c>
      <c r="D54" s="56">
        <f>IFERROR(__xludf.DUMMYFUNCTION("""COMPUTED_VALUE"""),190.0)</f>
        <v>190</v>
      </c>
      <c r="E54" s="56" t="str">
        <f>IFERROR(__xludf.DUMMYFUNCTION("""COMPUTED_VALUE"""),"몽블랑")</f>
        <v>몽블랑</v>
      </c>
      <c r="F54" s="56" t="str">
        <f>IFERROR(__xludf.DUMMYFUNCTION("""COMPUTED_VALUE"""),"연당 1500(3절)")</f>
        <v>연당 1500(3절)</v>
      </c>
      <c r="G54" s="56" t="str">
        <f>IFERROR(__xludf.DUMMYFUNCTION("""COMPUTED_VALUE"""),"4*6(1091*788)")</f>
        <v>4*6(1091*788)</v>
      </c>
      <c r="H54" s="57">
        <f>IFERROR(__xludf.DUMMYFUNCTION("""COMPUTED_VALUE"""),324120.0)</f>
        <v>324120</v>
      </c>
      <c r="I54" s="56"/>
      <c r="J54" s="58">
        <f>IFERROR(__xludf.DUMMYFUNCTION("""COMPUTED_VALUE"""),216.08)</f>
        <v>216.08</v>
      </c>
      <c r="K54" s="56" t="str">
        <f>IFERROR(__xludf.DUMMYFUNCTION("""COMPUTED_VALUE"""),"330x660")</f>
        <v>330x660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 t="str">
        <f>IFERROR(__xludf.DUMMYFUNCTION("""COMPUTED_VALUE"""),"몽블랑 240g (3절)")</f>
        <v>몽블랑 240g (3절)</v>
      </c>
      <c r="D55" s="56">
        <f>IFERROR(__xludf.DUMMYFUNCTION("""COMPUTED_VALUE"""),240.0)</f>
        <v>240</v>
      </c>
      <c r="E55" s="56" t="str">
        <f>IFERROR(__xludf.DUMMYFUNCTION("""COMPUTED_VALUE"""),"몽블랑")</f>
        <v>몽블랑</v>
      </c>
      <c r="F55" s="56"/>
      <c r="G55" s="56" t="str">
        <f>IFERROR(__xludf.DUMMYFUNCTION("""COMPUTED_VALUE"""),"4*6(1091*788)")</f>
        <v>4*6(1091*788)</v>
      </c>
      <c r="H55" s="57">
        <f>IFERROR(__xludf.DUMMYFUNCTION("""COMPUTED_VALUE"""),409420.0)</f>
        <v>409420</v>
      </c>
      <c r="I55" s="56"/>
      <c r="J55" s="58">
        <f>IFERROR(__xludf.DUMMYFUNCTION("""COMPUTED_VALUE"""),272.94666666666666)</f>
        <v>272.9466667</v>
      </c>
      <c r="K55" s="56" t="str">
        <f>IFERROR(__xludf.DUMMYFUNCTION("""COMPUTED_VALUE"""),"330x660")</f>
        <v>330x660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 t="str">
        <f>IFERROR(__xludf.DUMMYFUNCTION("""COMPUTED_VALUE"""),"인바이런먼트 아이론 352g")</f>
        <v>인바이런먼트 아이론 352g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 t="str">
        <f>IFERROR(__xludf.DUMMYFUNCTION("""COMPUTED_VALUE"""),"그문드컬러매트 블루300")</f>
        <v>그문드컬러매트 블루300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 t="str">
        <f>IFERROR(__xludf.DUMMYFUNCTION("""COMPUTED_VALUE"""),"마테리카 클레이 360g")</f>
        <v>마테리카 클레이 360g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 t="str">
        <f>IFERROR(__xludf.DUMMYFUNCTION("""COMPUTED_VALUE"""),"마테리카테라로사360")</f>
        <v>마테리카테라로사360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 t="str">
        <f>IFERROR(__xludf.DUMMYFUNCTION("""COMPUTED_VALUE"""),"리메이크스카이380")</f>
        <v>리메이크스카이380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 t="str">
        <f>IFERROR(__xludf.DUMMYFUNCTION("""COMPUTED_VALUE"""),"색지")</f>
        <v>색지</v>
      </c>
      <c r="C61" s="56" t="str">
        <f>IFERROR(__xludf.DUMMYFUNCTION("""COMPUTED_VALUE"""),"뉴에코블랙 400g")</f>
        <v>뉴에코블랙 400g</v>
      </c>
      <c r="D61" s="56">
        <f>IFERROR(__xludf.DUMMYFUNCTION("""COMPUTED_VALUE"""),400.0)</f>
        <v>400</v>
      </c>
      <c r="E61" s="56" t="str">
        <f>IFERROR(__xludf.DUMMYFUNCTION("""COMPUTED_VALUE"""),"뉴블랙")</f>
        <v>뉴블랙</v>
      </c>
      <c r="F61" s="56" t="str">
        <f>IFERROR(__xludf.DUMMYFUNCTION("""COMPUTED_VALUE"""),"뉴에코블랙")</f>
        <v>뉴에코블랙</v>
      </c>
      <c r="G61" s="56" t="str">
        <f>IFERROR(__xludf.DUMMYFUNCTION("""COMPUTED_VALUE"""),"4*6(1091*788)")</f>
        <v>4*6(1091*788)</v>
      </c>
      <c r="H61" s="57">
        <f>IFERROR(__xludf.DUMMYFUNCTION("""COMPUTED_VALUE"""),785000.0)</f>
        <v>785000</v>
      </c>
      <c r="I61" s="58">
        <f>IFERROR(__xludf.DUMMYFUNCTION("""COMPUTED_VALUE"""),314.0)</f>
        <v>314</v>
      </c>
      <c r="J61" s="56"/>
      <c r="K61" s="56" t="str">
        <f>IFERROR(__xludf.DUMMYFUNCTION("""COMPUTED_VALUE"""),"316x467")</f>
        <v>316x467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 t="str">
        <f>IFERROR(__xludf.DUMMYFUNCTION("""COMPUTED_VALUE"""),"큐리어스스킨 화이트 270g")</f>
        <v>큐리어스스킨 화이트 270g</v>
      </c>
      <c r="D62" s="56">
        <f>IFERROR(__xludf.DUMMYFUNCTION("""COMPUTED_VALUE"""),270.0)</f>
        <v>270</v>
      </c>
      <c r="E62" s="56" t="str">
        <f>IFERROR(__xludf.DUMMYFUNCTION("""COMPUTED_VALUE"""),"큐화이")</f>
        <v>큐화이</v>
      </c>
      <c r="F62" s="56" t="str">
        <f>IFERROR(__xludf.DUMMYFUNCTION("""COMPUTED_VALUE"""),"CT01 Extra White")</f>
        <v>CT01 Extra White</v>
      </c>
      <c r="G62" s="56" t="str">
        <f>IFERROR(__xludf.DUMMYFUNCTION("""COMPUTED_VALUE"""),"700*1000")</f>
        <v>700*1000</v>
      </c>
      <c r="H62" s="57">
        <f>IFERROR(__xludf.DUMMYFUNCTION("""COMPUTED_VALUE"""),1760000.0)</f>
        <v>1760000</v>
      </c>
      <c r="I62" s="58">
        <f>IFERROR(__xludf.DUMMYFUNCTION("""COMPUTED_VALUE"""),880.0)</f>
        <v>880</v>
      </c>
      <c r="J62" s="56"/>
      <c r="K62" s="56" t="str">
        <f>IFERROR(__xludf.DUMMYFUNCTION("""COMPUTED_VALUE"""),"316x467")</f>
        <v>316x467</v>
      </c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 t="str">
        <f>IFERROR(__xludf.DUMMYFUNCTION("""COMPUTED_VALUE"""),"큐리어스스킨 레드 270g")</f>
        <v>큐리어스스킨 레드 270g</v>
      </c>
      <c r="D63" s="56">
        <f>IFERROR(__xludf.DUMMYFUNCTION("""COMPUTED_VALUE"""),270.0)</f>
        <v>270</v>
      </c>
      <c r="E63" s="56" t="str">
        <f>IFERROR(__xludf.DUMMYFUNCTION("""COMPUTED_VALUE"""),"큐레드")</f>
        <v>큐레드</v>
      </c>
      <c r="F63" s="56" t="str">
        <f>IFERROR(__xludf.DUMMYFUNCTION("""COMPUTED_VALUE"""),"CT06 Red")</f>
        <v>CT06 Red</v>
      </c>
      <c r="G63" s="56" t="str">
        <f>IFERROR(__xludf.DUMMYFUNCTION("""COMPUTED_VALUE"""),"700*1000")</f>
        <v>700*1000</v>
      </c>
      <c r="H63" s="57">
        <f>IFERROR(__xludf.DUMMYFUNCTION("""COMPUTED_VALUE"""),2485000.0)</f>
        <v>2485000</v>
      </c>
      <c r="I63" s="58">
        <f>IFERROR(__xludf.DUMMYFUNCTION("""COMPUTED_VALUE"""),1242.5)</f>
        <v>1242.5</v>
      </c>
      <c r="J63" s="56"/>
      <c r="K63" s="56" t="str">
        <f>IFERROR(__xludf.DUMMYFUNCTION("""COMPUTED_VALUE"""),"316x467")</f>
        <v>316x467</v>
      </c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 t="str">
        <f>IFERROR(__xludf.DUMMYFUNCTION("""COMPUTED_VALUE"""),"큐리어스스킨 다크블루 270g")</f>
        <v>큐리어스스킨 다크블루 270g</v>
      </c>
      <c r="D64" s="56">
        <f>IFERROR(__xludf.DUMMYFUNCTION("""COMPUTED_VALUE"""),270.0)</f>
        <v>270</v>
      </c>
      <c r="E64" s="56" t="str">
        <f>IFERROR(__xludf.DUMMYFUNCTION("""COMPUTED_VALUE"""),"큐블루")</f>
        <v>큐블루</v>
      </c>
      <c r="F64" s="56"/>
      <c r="G64" s="56" t="str">
        <f>IFERROR(__xludf.DUMMYFUNCTION("""COMPUTED_VALUE"""),"700*1000")</f>
        <v>700*1000</v>
      </c>
      <c r="H64" s="57">
        <f>IFERROR(__xludf.DUMMYFUNCTION("""COMPUTED_VALUE"""),2485000.0)</f>
        <v>2485000</v>
      </c>
      <c r="I64" s="58">
        <f>IFERROR(__xludf.DUMMYFUNCTION("""COMPUTED_VALUE"""),1242.5)</f>
        <v>1242.5</v>
      </c>
      <c r="J64" s="56"/>
      <c r="K64" s="56" t="str">
        <f>IFERROR(__xludf.DUMMYFUNCTION("""COMPUTED_VALUE"""),"316x467")</f>
        <v>316x467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 t="str">
        <f>IFERROR(__xludf.DUMMYFUNCTION("""COMPUTED_VALUE"""),"큐리어스스킨 바이올렛 270g")</f>
        <v>큐리어스스킨 바이올렛 270g</v>
      </c>
      <c r="D65" s="56">
        <f>IFERROR(__xludf.DUMMYFUNCTION("""COMPUTED_VALUE"""),270.0)</f>
        <v>270</v>
      </c>
      <c r="E65" s="56" t="str">
        <f>IFERROR(__xludf.DUMMYFUNCTION("""COMPUTED_VALUE"""),"큐바이")</f>
        <v>큐바이</v>
      </c>
      <c r="F65" s="56" t="str">
        <f>IFERROR(__xludf.DUMMYFUNCTION("""COMPUTED_VALUE"""),"CT09 Violet")</f>
        <v>CT09 Violet</v>
      </c>
      <c r="G65" s="56" t="str">
        <f>IFERROR(__xludf.DUMMYFUNCTION("""COMPUTED_VALUE"""),"700*1000")</f>
        <v>700*1000</v>
      </c>
      <c r="H65" s="57">
        <f>IFERROR(__xludf.DUMMYFUNCTION("""COMPUTED_VALUE"""),2485000.0)</f>
        <v>2485000</v>
      </c>
      <c r="I65" s="58">
        <f>IFERROR(__xludf.DUMMYFUNCTION("""COMPUTED_VALUE"""),1242.5)</f>
        <v>1242.5</v>
      </c>
      <c r="J65" s="56"/>
      <c r="K65" s="56" t="str">
        <f>IFERROR(__xludf.DUMMYFUNCTION("""COMPUTED_VALUE"""),"316x467")</f>
        <v>316x467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 t="str">
        <f>IFERROR(__xludf.DUMMYFUNCTION("""COMPUTED_VALUE"""),"큐리어스스킨 블랙 270g")</f>
        <v>큐리어스스킨 블랙 270g</v>
      </c>
      <c r="D66" s="56">
        <f>IFERROR(__xludf.DUMMYFUNCTION("""COMPUTED_VALUE"""),270.0)</f>
        <v>270</v>
      </c>
      <c r="E66" s="56" t="str">
        <f>IFERROR(__xludf.DUMMYFUNCTION("""COMPUTED_VALUE"""),"큐블랙")</f>
        <v>큐블랙</v>
      </c>
      <c r="F66" s="56" t="str">
        <f>IFERROR(__xludf.DUMMYFUNCTION("""COMPUTED_VALUE"""),"CT12 Black")</f>
        <v>CT12 Black</v>
      </c>
      <c r="G66" s="56" t="str">
        <f>IFERROR(__xludf.DUMMYFUNCTION("""COMPUTED_VALUE"""),"700*1000")</f>
        <v>700*1000</v>
      </c>
      <c r="H66" s="57">
        <f>IFERROR(__xludf.DUMMYFUNCTION("""COMPUTED_VALUE"""),2485000.0)</f>
        <v>2485000</v>
      </c>
      <c r="I66" s="58">
        <f>IFERROR(__xludf.DUMMYFUNCTION("""COMPUTED_VALUE"""),1242.5)</f>
        <v>1242.5</v>
      </c>
      <c r="J66" s="56"/>
      <c r="K66" s="56" t="str">
        <f>IFERROR(__xludf.DUMMYFUNCTION("""COMPUTED_VALUE"""),"316x467")</f>
        <v>316x467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 t="str">
        <f>IFERROR(__xludf.DUMMYFUNCTION("""COMPUTED_VALUE"""),"유니크라프트 260g")</f>
        <v>유니크라프트 260g</v>
      </c>
      <c r="D67" s="56">
        <f>IFERROR(__xludf.DUMMYFUNCTION("""COMPUTED_VALUE"""),260.0)</f>
        <v>260</v>
      </c>
      <c r="E67" s="56" t="str">
        <f>IFERROR(__xludf.DUMMYFUNCTION("""COMPUTED_VALUE"""),"유니크")</f>
        <v>유니크</v>
      </c>
      <c r="F67" s="56"/>
      <c r="G67" s="56" t="str">
        <f>IFERROR(__xludf.DUMMYFUNCTION("""COMPUTED_VALUE"""),"4*6(1091*788)")</f>
        <v>4*6(1091*788)</v>
      </c>
      <c r="H67" s="57">
        <f>IFERROR(__xludf.DUMMYFUNCTION("""COMPUTED_VALUE"""),250000.0)</f>
        <v>250000</v>
      </c>
      <c r="I67" s="58">
        <f>IFERROR(__xludf.DUMMYFUNCTION("""COMPUTED_VALUE"""),100.0)</f>
        <v>100</v>
      </c>
      <c r="J67" s="56"/>
      <c r="K67" s="56" t="str">
        <f>IFERROR(__xludf.DUMMYFUNCTION("""COMPUTED_VALUE"""),"316x467")</f>
        <v>316x467</v>
      </c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 t="str">
        <f>IFERROR(__xludf.DUMMYFUNCTION("""COMPUTED_VALUE"""),"PET")</f>
        <v>PET</v>
      </c>
      <c r="C68" s="56" t="str">
        <f>IFERROR(__xludf.DUMMYFUNCTION("""COMPUTED_VALUE"""),"투명 PET 260g")</f>
        <v>투명 PET 260g</v>
      </c>
      <c r="D68" s="56">
        <f>IFERROR(__xludf.DUMMYFUNCTION("""COMPUTED_VALUE"""),260.0)</f>
        <v>260</v>
      </c>
      <c r="E68" s="56" t="str">
        <f>IFERROR(__xludf.DUMMYFUNCTION("""COMPUTED_VALUE"""),"투명")</f>
        <v>투명</v>
      </c>
      <c r="F68" s="56" t="str">
        <f>IFERROR(__xludf.DUMMYFUNCTION("""COMPUTED_VALUE"""),"1박스당 100매 / 비점착 슈퍼클리어260(투명)")</f>
        <v>1박스당 100매 / 비점착 슈퍼클리어260(투명)</v>
      </c>
      <c r="G68" s="56"/>
      <c r="H68" s="58">
        <f>IFERROR(__xludf.DUMMYFUNCTION("""COMPUTED_VALUE"""),110000.0)</f>
        <v>110000</v>
      </c>
      <c r="I68" s="58">
        <f>IFERROR(__xludf.DUMMYFUNCTION("""COMPUTED_VALUE"""),1100.0)</f>
        <v>1100</v>
      </c>
      <c r="J68" s="56"/>
      <c r="K68" s="56" t="str">
        <f>IFERROR(__xludf.DUMMYFUNCTION("""COMPUTED_VALUE"""),"315x467")</f>
        <v>315x467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 t="str">
        <f>IFERROR(__xludf.DUMMYFUNCTION("""COMPUTED_VALUE"""),"투명 PET 370g")</f>
        <v>투명 PET 370g</v>
      </c>
      <c r="D69" s="56">
        <f>IFERROR(__xludf.DUMMYFUNCTION("""COMPUTED_VALUE"""),370.0)</f>
        <v>370</v>
      </c>
      <c r="E69" s="56" t="str">
        <f>IFERROR(__xludf.DUMMYFUNCTION("""COMPUTED_VALUE"""),"투명")</f>
        <v>투명</v>
      </c>
      <c r="F69" s="56" t="str">
        <f>IFERROR(__xludf.DUMMYFUNCTION("""COMPUTED_VALUE"""),"1박스당 100매 / 비점착 슈퍼클리어370(투명)")</f>
        <v>1박스당 100매 / 비점착 슈퍼클리어370(투명)</v>
      </c>
      <c r="G69" s="56"/>
      <c r="H69" s="58">
        <f>IFERROR(__xludf.DUMMYFUNCTION("""COMPUTED_VALUE"""),130000.0)</f>
        <v>130000</v>
      </c>
      <c r="I69" s="58">
        <f>IFERROR(__xludf.DUMMYFUNCTION("""COMPUTED_VALUE"""),1300.0)</f>
        <v>1300</v>
      </c>
      <c r="J69" s="56"/>
      <c r="K69" s="56" t="str">
        <f>IFERROR(__xludf.DUMMYFUNCTION("""COMPUTED_VALUE"""),"315x467")</f>
        <v>315x467</v>
      </c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 t="str">
        <f>IFERROR(__xludf.DUMMYFUNCTION("""COMPUTED_VALUE"""),"반투명 PET 260g")</f>
        <v>반투명 PET 260g</v>
      </c>
      <c r="D70" s="56">
        <f>IFERROR(__xludf.DUMMYFUNCTION("""COMPUTED_VALUE"""),260.0)</f>
        <v>260</v>
      </c>
      <c r="E70" s="56" t="str">
        <f>IFERROR(__xludf.DUMMYFUNCTION("""COMPUTED_VALUE"""),"반투명")</f>
        <v>반투명</v>
      </c>
      <c r="F70" s="56" t="str">
        <f>IFERROR(__xludf.DUMMYFUNCTION("""COMPUTED_VALUE"""),"1박스당 100매 / 비점착 펄프로스트260(반투명")</f>
        <v>1박스당 100매 / 비점착 펄프로스트260(반투명</v>
      </c>
      <c r="G70" s="56"/>
      <c r="H70" s="58">
        <f>IFERROR(__xludf.DUMMYFUNCTION("""COMPUTED_VALUE"""),110000.0)</f>
        <v>110000</v>
      </c>
      <c r="I70" s="58">
        <f>IFERROR(__xludf.DUMMYFUNCTION("""COMPUTED_VALUE"""),1100.0)</f>
        <v>1100</v>
      </c>
      <c r="J70" s="56"/>
      <c r="K70" s="56" t="str">
        <f>IFERROR(__xludf.DUMMYFUNCTION("""COMPUTED_VALUE"""),"315x467")</f>
        <v>315x467</v>
      </c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 t="str">
        <f>IFERROR(__xludf.DUMMYFUNCTION("""COMPUTED_VALUE"""),"반투명 PET 370g")</f>
        <v>반투명 PET 370g</v>
      </c>
      <c r="D71" s="56">
        <f>IFERROR(__xludf.DUMMYFUNCTION("""COMPUTED_VALUE"""),370.0)</f>
        <v>370</v>
      </c>
      <c r="E71" s="56" t="str">
        <f>IFERROR(__xludf.DUMMYFUNCTION("""COMPUTED_VALUE"""),"반투명")</f>
        <v>반투명</v>
      </c>
      <c r="F71" s="56" t="str">
        <f>IFERROR(__xludf.DUMMYFUNCTION("""COMPUTED_VALUE"""),"1박스당 100매 / 비점착 펄프로스트370(반투명)")</f>
        <v>1박스당 100매 / 비점착 펄프로스트370(반투명)</v>
      </c>
      <c r="G71" s="56"/>
      <c r="H71" s="58">
        <f>IFERROR(__xludf.DUMMYFUNCTION("""COMPUTED_VALUE"""),130000.0)</f>
        <v>130000</v>
      </c>
      <c r="I71" s="58">
        <f>IFERROR(__xludf.DUMMYFUNCTION("""COMPUTED_VALUE"""),1300.0)</f>
        <v>1300</v>
      </c>
      <c r="J71" s="56"/>
      <c r="K71" s="56" t="str">
        <f>IFERROR(__xludf.DUMMYFUNCTION("""COMPUTED_VALUE"""),"315x467")</f>
        <v>315x467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 t="str">
        <f>IFERROR(__xludf.DUMMYFUNCTION("""COMPUTED_VALUE"""),"특수가공지")</f>
        <v>특수가공지</v>
      </c>
      <c r="C72" s="56" t="str">
        <f>IFERROR(__xludf.DUMMYFUNCTION("""COMPUTED_VALUE"""),"아이보리")</f>
        <v>아이보리</v>
      </c>
      <c r="D72" s="56">
        <f>IFERROR(__xludf.DUMMYFUNCTION("""COMPUTED_VALUE"""),300.0)</f>
        <v>300</v>
      </c>
      <c r="E72" s="56" t="str">
        <f>IFERROR(__xludf.DUMMYFUNCTION("""COMPUTED_VALUE"""),"아이보")</f>
        <v>아이보</v>
      </c>
      <c r="F72" s="56" t="str">
        <f>IFERROR(__xludf.DUMMYFUNCTION("""COMPUTED_VALUE"""),"IVORY(깨나)300g 썬캡전용")</f>
        <v>IVORY(깨나)300g 썬캡전용</v>
      </c>
      <c r="G72" s="56" t="str">
        <f>IFERROR(__xludf.DUMMYFUNCTION("""COMPUTED_VALUE"""),"4*6(1091*788)")</f>
        <v>4*6(1091*788)</v>
      </c>
      <c r="H72" s="58">
        <f>IFERROR(__xludf.DUMMYFUNCTION("""COMPUTED_VALUE"""),228588.0)</f>
        <v>228588</v>
      </c>
      <c r="I72" s="56">
        <f>IFERROR(__xludf.DUMMYFUNCTION("""COMPUTED_VALUE"""),153.0)</f>
        <v>153</v>
      </c>
      <c r="J72" s="56"/>
      <c r="K72" s="56" t="str">
        <f>IFERROR(__xludf.DUMMYFUNCTION("""COMPUTED_VALUE"""),"330x540")</f>
        <v>330x540</v>
      </c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 t="str">
        <f>IFERROR(__xludf.DUMMYFUNCTION("""COMPUTED_VALUE"""),"백색모조지")</f>
        <v>백색모조지</v>
      </c>
      <c r="D73" s="56">
        <f>IFERROR(__xludf.DUMMYFUNCTION("""COMPUTED_VALUE"""),220.0)</f>
        <v>220</v>
      </c>
      <c r="E73" s="56" t="str">
        <f>IFERROR(__xludf.DUMMYFUNCTION("""COMPUTED_VALUE"""),"백모조")</f>
        <v>백모조</v>
      </c>
      <c r="F73" s="56" t="str">
        <f>IFERROR(__xludf.DUMMYFUNCTION("""COMPUTED_VALUE"""),"손잡이헤더택전용")</f>
        <v>손잡이헤더택전용</v>
      </c>
      <c r="G73" s="56" t="str">
        <f>IFERROR(__xludf.DUMMYFUNCTION("""COMPUTED_VALUE"""),"4*6(1091*788)")</f>
        <v>4*6(1091*788)</v>
      </c>
      <c r="H73" s="58">
        <f>IFERROR(__xludf.DUMMYFUNCTION("""COMPUTED_VALUE"""),203390.0)</f>
        <v>203390</v>
      </c>
      <c r="I73" s="59">
        <f>IFERROR(__xludf.DUMMYFUNCTION("""COMPUTED_VALUE"""),136.0)</f>
        <v>136</v>
      </c>
      <c r="J73" s="56"/>
      <c r="K73" s="56" t="str">
        <f>IFERROR(__xludf.DUMMYFUNCTION("""COMPUTED_VALUE"""),"330x540")</f>
        <v>330x540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 t="str">
        <f>IFERROR(__xludf.DUMMYFUNCTION("""COMPUTED_VALUE"""),"뉴크라프트")</f>
        <v>뉴크라프트</v>
      </c>
      <c r="D74" s="56">
        <f>IFERROR(__xludf.DUMMYFUNCTION("""COMPUTED_VALUE"""),250.0)</f>
        <v>250</v>
      </c>
      <c r="E74" s="56" t="str">
        <f>IFERROR(__xludf.DUMMYFUNCTION("""COMPUTED_VALUE"""),"뉴크라")</f>
        <v>뉴크라</v>
      </c>
      <c r="F74" s="56" t="str">
        <f>IFERROR(__xludf.DUMMYFUNCTION("""COMPUTED_VALUE"""),"손잡이헤더택전용")</f>
        <v>손잡이헤더택전용</v>
      </c>
      <c r="G74" s="56" t="str">
        <f>IFERROR(__xludf.DUMMYFUNCTION("""COMPUTED_VALUE"""),"4*6(1091*788)")</f>
        <v>4*6(1091*788)</v>
      </c>
      <c r="H74" s="58">
        <f>IFERROR(__xludf.DUMMYFUNCTION("""COMPUTED_VALUE"""),262000.0)</f>
        <v>262000</v>
      </c>
      <c r="I74" s="59">
        <f>IFERROR(__xludf.DUMMYFUNCTION("""COMPUTED_VALUE"""),105.0)</f>
        <v>105</v>
      </c>
      <c r="J74" s="56"/>
      <c r="K74" s="56" t="str">
        <f>IFERROR(__xludf.DUMMYFUNCTION("""COMPUTED_VALUE"""),"316x467")</f>
        <v>316x467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 t="str">
        <f>IFERROR(__xludf.DUMMYFUNCTION("""COMPUTED_VALUE"""),"팬시크라프트")</f>
        <v>팬시크라프트</v>
      </c>
      <c r="D75" s="56">
        <f>IFERROR(__xludf.DUMMYFUNCTION("""COMPUTED_VALUE"""),120.0)</f>
        <v>120</v>
      </c>
      <c r="E75" s="56" t="str">
        <f>IFERROR(__xludf.DUMMYFUNCTION("""COMPUTED_VALUE"""),"팬시크")</f>
        <v>팬시크</v>
      </c>
      <c r="F75" s="56" t="str">
        <f>IFERROR(__xludf.DUMMYFUNCTION("""COMPUTED_VALUE"""),"디지털인쇄")</f>
        <v>디지털인쇄</v>
      </c>
      <c r="G75" s="56" t="str">
        <f>IFERROR(__xludf.DUMMYFUNCTION("""COMPUTED_VALUE"""),"4*6(1091*788)")</f>
        <v>4*6(1091*788)</v>
      </c>
      <c r="H75" s="58">
        <f>IFERROR(__xludf.DUMMYFUNCTION("""COMPUTED_VALUE"""),180000.0)</f>
        <v>180000</v>
      </c>
      <c r="I75" s="59">
        <f>IFERROR(__xludf.DUMMYFUNCTION("""COMPUTED_VALUE"""),72.0)</f>
        <v>72</v>
      </c>
      <c r="J75" s="56"/>
      <c r="K75" s="56" t="str">
        <f>IFERROR(__xludf.DUMMYFUNCTION("""COMPUTED_VALUE"""),"316x467")</f>
        <v>316x467</v>
      </c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 t="str">
        <f>IFERROR(__xludf.DUMMYFUNCTION("""COMPUTED_VALUE"""),"스티커용지")</f>
        <v>스티커용지</v>
      </c>
      <c r="C76" s="56" t="str">
        <f>IFERROR(__xludf.DUMMYFUNCTION("""COMPUTED_VALUE"""),"유포스티커")</f>
        <v>유포스티커</v>
      </c>
      <c r="D76" s="56">
        <f>IFERROR(__xludf.DUMMYFUNCTION("""COMPUTED_VALUE"""),80.0)</f>
        <v>80</v>
      </c>
      <c r="E76" s="56" t="str">
        <f>IFERROR(__xludf.DUMMYFUNCTION("""COMPUTED_VALUE"""),"유포")</f>
        <v>유포</v>
      </c>
      <c r="F76" s="56" t="str">
        <f>IFERROR(__xludf.DUMMYFUNCTION("""COMPUTED_VALUE"""),"유포지 80g(WP-SM WP120) 1롤 1910장")</f>
        <v>유포지 80g(WP-SM WP120) 1롤 1910장</v>
      </c>
      <c r="G76" s="56" t="str">
        <f>IFERROR(__xludf.DUMMYFUNCTION("""COMPUTED_VALUE"""),"330*470")</f>
        <v>330*470</v>
      </c>
      <c r="H76" s="57">
        <f>IFERROR(__xludf.DUMMYFUNCTION("""COMPUTED_VALUE"""),417000.0)</f>
        <v>417000</v>
      </c>
      <c r="I76" s="59">
        <f>IFERROR(__xludf.DUMMYFUNCTION("""COMPUTED_VALUE"""),219.0)</f>
        <v>219</v>
      </c>
      <c r="J76" s="56"/>
      <c r="K76" s="56" t="str">
        <f>IFERROR(__xludf.DUMMYFUNCTION("""COMPUTED_VALUE"""),"330x470")</f>
        <v>330x470</v>
      </c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 t="str">
        <f>IFERROR(__xludf.DUMMYFUNCTION("""COMPUTED_VALUE"""),"비코팅스티커")</f>
        <v>비코팅스티커</v>
      </c>
      <c r="D77" s="56">
        <f>IFERROR(__xludf.DUMMYFUNCTION("""COMPUTED_VALUE"""),90.0)</f>
        <v>90</v>
      </c>
      <c r="E77" s="56" t="str">
        <f>IFERROR(__xludf.DUMMYFUNCTION("""COMPUTED_VALUE"""),"아트")</f>
        <v>아트</v>
      </c>
      <c r="F77" s="56" t="str">
        <f>IFERROR(__xludf.DUMMYFUNCTION("""COMPUTED_VALUE"""),"아트지 90g(아트90 YP95) 1롤 1910장")</f>
        <v>아트지 90g(아트90 YP95) 1롤 1910장</v>
      </c>
      <c r="G77" s="56" t="str">
        <f>IFERROR(__xludf.DUMMYFUNCTION("""COMPUTED_VALUE"""),"330*470")</f>
        <v>330*470</v>
      </c>
      <c r="H77" s="57">
        <f>IFERROR(__xludf.DUMMYFUNCTION("""COMPUTED_VALUE"""),290000.0)</f>
        <v>290000</v>
      </c>
      <c r="I77" s="59">
        <f>IFERROR(__xludf.DUMMYFUNCTION("""COMPUTED_VALUE"""),152.0)</f>
        <v>152</v>
      </c>
      <c r="J77" s="56"/>
      <c r="K77" s="56" t="str">
        <f>IFERROR(__xludf.DUMMYFUNCTION("""COMPUTED_VALUE"""),"330x470")</f>
        <v>330x470</v>
      </c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 t="str">
        <f>IFERROR(__xludf.DUMMYFUNCTION("""COMPUTED_VALUE"""),"무광코팅스티커")</f>
        <v>무광코팅스티커</v>
      </c>
      <c r="D78" s="56">
        <f>IFERROR(__xludf.DUMMYFUNCTION("""COMPUTED_VALUE"""),90.0)</f>
        <v>90</v>
      </c>
      <c r="E78" s="56" t="str">
        <f>IFERROR(__xludf.DUMMYFUNCTION("""COMPUTED_VALUE"""),"아트무")</f>
        <v>아트무</v>
      </c>
      <c r="F78" s="56" t="str">
        <f>IFERROR(__xludf.DUMMYFUNCTION("""COMPUTED_VALUE"""),"아트지 90g+무광코팅 1롤 1910장")</f>
        <v>아트지 90g+무광코팅 1롤 1910장</v>
      </c>
      <c r="G78" s="56" t="str">
        <f>IFERROR(__xludf.DUMMYFUNCTION("""COMPUTED_VALUE"""),"330*470")</f>
        <v>330*470</v>
      </c>
      <c r="H78" s="57">
        <f>IFERROR(__xludf.DUMMYFUNCTION("""COMPUTED_VALUE"""),414000.0)</f>
        <v>414000</v>
      </c>
      <c r="I78" s="59">
        <f>IFERROR(__xludf.DUMMYFUNCTION("""COMPUTED_VALUE"""),217.0)</f>
        <v>217</v>
      </c>
      <c r="J78" s="56"/>
      <c r="K78" s="56" t="str">
        <f>IFERROR(__xludf.DUMMYFUNCTION("""COMPUTED_VALUE"""),"330x470")</f>
        <v>330x470</v>
      </c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 t="str">
        <f>IFERROR(__xludf.DUMMYFUNCTION("""COMPUTED_VALUE"""),"유광코팅스티커")</f>
        <v>유광코팅스티커</v>
      </c>
      <c r="D79" s="56">
        <f>IFERROR(__xludf.DUMMYFUNCTION("""COMPUTED_VALUE"""),90.0)</f>
        <v>90</v>
      </c>
      <c r="E79" s="56" t="str">
        <f>IFERROR(__xludf.DUMMYFUNCTION("""COMPUTED_VALUE"""),"아트유")</f>
        <v>아트유</v>
      </c>
      <c r="F79" s="56" t="str">
        <f>IFERROR(__xludf.DUMMYFUNCTION("""COMPUTED_VALUE"""),"아트지 90g+유광코팅 1롤 1910장")</f>
        <v>아트지 90g+유광코팅 1롤 1910장</v>
      </c>
      <c r="G79" s="56" t="str">
        <f>IFERROR(__xludf.DUMMYFUNCTION("""COMPUTED_VALUE"""),"330*470")</f>
        <v>330*470</v>
      </c>
      <c r="H79" s="57">
        <f>IFERROR(__xludf.DUMMYFUNCTION("""COMPUTED_VALUE"""),414000.0)</f>
        <v>414000</v>
      </c>
      <c r="I79" s="59">
        <f>IFERROR(__xludf.DUMMYFUNCTION("""COMPUTED_VALUE"""),217.0)</f>
        <v>217</v>
      </c>
      <c r="J79" s="56"/>
      <c r="K79" s="56" t="str">
        <f>IFERROR(__xludf.DUMMYFUNCTION("""COMPUTED_VALUE"""),"330x470")</f>
        <v>330x470</v>
      </c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 t="str">
        <f>IFERROR(__xludf.DUMMYFUNCTION("""COMPUTED_VALUE"""),"미색매트지")</f>
        <v>미색매트지</v>
      </c>
      <c r="D80" s="56">
        <f>IFERROR(__xludf.DUMMYFUNCTION("""COMPUTED_VALUE"""),80.0)</f>
        <v>80</v>
      </c>
      <c r="E80" s="56" t="str">
        <f>IFERROR(__xludf.DUMMYFUNCTION("""COMPUTED_VALUE"""),"모조")</f>
        <v>모조</v>
      </c>
      <c r="F80" s="56" t="str">
        <f>IFERROR(__xludf.DUMMYFUNCTION("""COMPUTED_VALUE"""),"모조지 80g(모조80 YP95) 1롤 1060장")</f>
        <v>모조지 80g(모조80 YP95) 1롤 1060장</v>
      </c>
      <c r="G80" s="56" t="str">
        <f>IFERROR(__xludf.DUMMYFUNCTION("""COMPUTED_VALUE"""),"330*470")</f>
        <v>330*470</v>
      </c>
      <c r="H80" s="57">
        <f>IFERROR(__xludf.DUMMYFUNCTION("""COMPUTED_VALUE"""),177000.0)</f>
        <v>177000</v>
      </c>
      <c r="I80" s="59">
        <f>IFERROR(__xludf.DUMMYFUNCTION("""COMPUTED_VALUE"""),167.0)</f>
        <v>167</v>
      </c>
      <c r="J80" s="56"/>
      <c r="K80" s="56" t="str">
        <f>IFERROR(__xludf.DUMMYFUNCTION("""COMPUTED_VALUE"""),"330x470")</f>
        <v>330x470</v>
      </c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 t="str">
        <f>IFERROR(__xludf.DUMMYFUNCTION("""COMPUTED_VALUE"""),"리무벌아트지 90g")</f>
        <v>리무벌아트지 90g</v>
      </c>
      <c r="D81" s="56">
        <f>IFERROR(__xludf.DUMMYFUNCTION("""COMPUTED_VALUE"""),90.0)</f>
        <v>90</v>
      </c>
      <c r="E81" s="56" t="str">
        <f>IFERROR(__xludf.DUMMYFUNCTION("""COMPUTED_VALUE"""),"리무벌")</f>
        <v>리무벌</v>
      </c>
      <c r="F81" s="56" t="str">
        <f>IFERROR(__xludf.DUMMYFUNCTION("""COMPUTED_VALUE"""),"리무벌아트지 90g(아트90 WP100) 1롤 1910장")</f>
        <v>리무벌아트지 90g(아트90 WP100) 1롤 1910장</v>
      </c>
      <c r="G81" s="56" t="str">
        <f>IFERROR(__xludf.DUMMYFUNCTION("""COMPUTED_VALUE"""),"330*470")</f>
        <v>330*470</v>
      </c>
      <c r="H81" s="57">
        <f>IFERROR(__xludf.DUMMYFUNCTION("""COMPUTED_VALUE"""),333840.0)</f>
        <v>333840</v>
      </c>
      <c r="I81" s="59">
        <f>IFERROR(__xludf.DUMMYFUNCTION("""COMPUTED_VALUE"""),175.0)</f>
        <v>175</v>
      </c>
      <c r="J81" s="56"/>
      <c r="K81" s="56" t="str">
        <f>IFERROR(__xludf.DUMMYFUNCTION("""COMPUTED_VALUE"""),"330x470")</f>
        <v>330x470</v>
      </c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 t="str">
        <f>IFERROR(__xludf.DUMMYFUNCTION("""COMPUTED_VALUE"""),"수분리스티커")</f>
        <v>수분리스티커</v>
      </c>
      <c r="D82" s="56">
        <f>IFERROR(__xludf.DUMMYFUNCTION("""COMPUTED_VALUE"""),80.0)</f>
        <v>80</v>
      </c>
      <c r="E82" s="56" t="str">
        <f>IFERROR(__xludf.DUMMYFUNCTION("""COMPUTED_VALUE"""),"수분리")</f>
        <v>수분리</v>
      </c>
      <c r="F82" s="56"/>
      <c r="G82" s="56" t="str">
        <f>IFERROR(__xludf.DUMMYFUNCTION("""COMPUTED_VALUE"""),"315*470")</f>
        <v>315*470</v>
      </c>
      <c r="H82" s="57">
        <f>IFERROR(__xludf.DUMMYFUNCTION("""COMPUTED_VALUE"""),333840.0)</f>
        <v>333840</v>
      </c>
      <c r="I82" s="59">
        <f>IFERROR(__xludf.DUMMYFUNCTION("""COMPUTED_VALUE"""),175.0)</f>
        <v>175</v>
      </c>
      <c r="J82" s="56"/>
      <c r="K82" s="56" t="str">
        <f>IFERROR(__xludf.DUMMYFUNCTION("""COMPUTED_VALUE"""),"315x470")</f>
        <v>315x470</v>
      </c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30.0" customHeight="1">
      <c r="A83" s="56"/>
      <c r="B83" s="56"/>
      <c r="C83" s="56" t="str">
        <f>IFERROR(__xludf.DUMMYFUNCTION("""COMPUTED_VALUE"""),"투명스티커(백색후지)")</f>
        <v>투명스티커(백색후지)</v>
      </c>
      <c r="D83" s="56">
        <f>IFERROR(__xludf.DUMMYFUNCTION("""COMPUTED_VALUE"""),50.0)</f>
        <v>50</v>
      </c>
      <c r="E83" s="56" t="str">
        <f>IFERROR(__xludf.DUMMYFUNCTION("""COMPUTED_VALUE"""),"투명스")</f>
        <v>투명스</v>
      </c>
      <c r="F83" s="56" t="str">
        <f>IFERROR(__xludf.DUMMYFUNCTION("""COMPUTED_VALUE"""),"점착 투명데드롱 50mic (후지:백색박리지150g) / 1박스당 300매")</f>
        <v>점착 투명데드롱 50mic (후지:백색박리지150g) / 1박스당 300매</v>
      </c>
      <c r="G83" s="56" t="str">
        <f>IFERROR(__xludf.DUMMYFUNCTION("""COMPUTED_VALUE"""),"330*480")</f>
        <v>330*480</v>
      </c>
      <c r="H83" s="57">
        <f>IFERROR(__xludf.DUMMYFUNCTION("""COMPUTED_VALUE"""),149500.0)</f>
        <v>149500</v>
      </c>
      <c r="I83" s="59">
        <f>IFERROR(__xludf.DUMMYFUNCTION("""COMPUTED_VALUE"""),499.0)</f>
        <v>499</v>
      </c>
      <c r="J83" s="56"/>
      <c r="K83" s="56" t="str">
        <f>IFERROR(__xludf.DUMMYFUNCTION("""COMPUTED_VALUE"""),"330x480")</f>
        <v>330x480</v>
      </c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 t="str">
        <f>IFERROR(__xludf.DUMMYFUNCTION("""COMPUTED_VALUE"""),"홀로그램스티커")</f>
        <v>홀로그램스티커</v>
      </c>
      <c r="D84" s="56">
        <f>IFERROR(__xludf.DUMMYFUNCTION("""COMPUTED_VALUE"""),50.0)</f>
        <v>50</v>
      </c>
      <c r="E84" s="56" t="str">
        <f>IFERROR(__xludf.DUMMYFUNCTION("""COMPUTED_VALUE"""),"홀로스")</f>
        <v>홀로스</v>
      </c>
      <c r="F84" s="56" t="str">
        <f>IFERROR(__xludf.DUMMYFUNCTION("""COMPUTED_VALUE"""),"홀로그램50g / 1박스당 300매")</f>
        <v>홀로그램50g / 1박스당 300매</v>
      </c>
      <c r="G84" s="56" t="str">
        <f>IFERROR(__xludf.DUMMYFUNCTION("""COMPUTED_VALUE"""),"330*480")</f>
        <v>330*480</v>
      </c>
      <c r="H84" s="57">
        <f>IFERROR(__xludf.DUMMYFUNCTION("""COMPUTED_VALUE"""),253700.0)</f>
        <v>253700</v>
      </c>
      <c r="I84" s="59">
        <f>IFERROR(__xludf.DUMMYFUNCTION("""COMPUTED_VALUE"""),846.0)</f>
        <v>846</v>
      </c>
      <c r="J84" s="56"/>
      <c r="K84" s="56" t="str">
        <f>IFERROR(__xludf.DUMMYFUNCTION("""COMPUTED_VALUE"""),"330x480")</f>
        <v>330x480</v>
      </c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 t="str">
        <f>IFERROR(__xludf.DUMMYFUNCTION("""COMPUTED_VALUE"""),"크라프트 스티커")</f>
        <v>크라프트 스티커</v>
      </c>
      <c r="D85" s="56">
        <f>IFERROR(__xludf.DUMMYFUNCTION("""COMPUTED_VALUE"""),57.0)</f>
        <v>57</v>
      </c>
      <c r="E85" s="56" t="str">
        <f>IFERROR(__xludf.DUMMYFUNCTION("""COMPUTED_VALUE"""),"크라프")</f>
        <v>크라프</v>
      </c>
      <c r="F85" s="56" t="str">
        <f>IFERROR(__xludf.DUMMYFUNCTION("""COMPUTED_VALUE"""),"57g/ (후지:백색박리지150g /1박스당 300매)")</f>
        <v>57g/ (후지:백색박리지150g /1박스당 300매)</v>
      </c>
      <c r="G85" s="56" t="str">
        <f>IFERROR(__xludf.DUMMYFUNCTION("""COMPUTED_VALUE"""),"330*480")</f>
        <v>330*480</v>
      </c>
      <c r="H85" s="57">
        <f>IFERROR(__xludf.DUMMYFUNCTION("""COMPUTED_VALUE"""),81500.0)</f>
        <v>81500</v>
      </c>
      <c r="I85" s="59">
        <f>IFERROR(__xludf.DUMMYFUNCTION("""COMPUTED_VALUE"""),272.0)</f>
        <v>272</v>
      </c>
      <c r="J85" s="56"/>
      <c r="K85" s="56" t="str">
        <f>IFERROR(__xludf.DUMMYFUNCTION("""COMPUTED_VALUE"""),"330x480")</f>
        <v>330x480</v>
      </c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28.5" customHeight="1">
      <c r="A86" s="56"/>
      <c r="B86" s="56"/>
      <c r="C86" s="56" t="str">
        <f>IFERROR(__xludf.DUMMYFUNCTION("""COMPUTED_VALUE"""),"투명스티커(투명후지)")</f>
        <v>투명스티커(투명후지)</v>
      </c>
      <c r="D86" s="56">
        <f>IFERROR(__xludf.DUMMYFUNCTION("""COMPUTED_VALUE"""),50.0)</f>
        <v>50</v>
      </c>
      <c r="E86" s="56" t="str">
        <f>IFERROR(__xludf.DUMMYFUNCTION("""COMPUTED_VALUE"""),"투명투")</f>
        <v>투명투</v>
      </c>
      <c r="F86" s="60" t="str">
        <f>IFERROR(__xludf.DUMMYFUNCTION("""COMPUTED_VALUE"""),"점착 투명데드롱 50mic (후지:투명 PET 100mic) / 1박스당 300매")</f>
        <v>점착 투명데드롱 50mic (후지:투명 PET 100mic) / 1박스당 300매</v>
      </c>
      <c r="G86" s="56" t="str">
        <f>IFERROR(__xludf.DUMMYFUNCTION("""COMPUTED_VALUE"""),"330*480")</f>
        <v>330*480</v>
      </c>
      <c r="H86" s="57">
        <f>IFERROR(__xludf.DUMMYFUNCTION("""COMPUTED_VALUE"""),222000.0)</f>
        <v>222000</v>
      </c>
      <c r="I86" s="59">
        <f>IFERROR(__xludf.DUMMYFUNCTION("""COMPUTED_VALUE"""),740.0)</f>
        <v>740</v>
      </c>
      <c r="J86" s="56"/>
      <c r="K86" s="56" t="str">
        <f>IFERROR(__xludf.DUMMYFUNCTION("""COMPUTED_VALUE"""),"330x480")</f>
        <v>330x480</v>
      </c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 t="str">
        <f>IFERROR(__xludf.DUMMYFUNCTION("""COMPUTED_VALUE"""),"유포지 + 엠보코팅")</f>
        <v>유포지 + 엠보코팅</v>
      </c>
      <c r="D87" s="56" t="str">
        <f>IFERROR(__xludf.DUMMYFUNCTION("""COMPUTED_VALUE"""),"X")</f>
        <v>X</v>
      </c>
      <c r="E87" s="56" t="str">
        <f>IFERROR(__xludf.DUMMYFUNCTION("""COMPUTED_VALUE"""),"유포엠")</f>
        <v>유포엠</v>
      </c>
      <c r="F87" s="56" t="str">
        <f>IFERROR(__xludf.DUMMYFUNCTION("""COMPUTED_VALUE"""),"유포지+엠보코팅")</f>
        <v>유포지+엠보코팅</v>
      </c>
      <c r="G87" s="56"/>
      <c r="H87" s="56"/>
      <c r="I87" s="56" t="str">
        <f>IFERROR(__xludf.DUMMYFUNCTION("""COMPUTED_VALUE"""),"Roll")</f>
        <v>Roll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 t="str">
        <f>IFERROR(__xludf.DUMMYFUNCTION("""COMPUTED_VALUE"""),"투명접착 PVC")</f>
        <v>투명접착 PVC</v>
      </c>
      <c r="D88" s="56" t="str">
        <f>IFERROR(__xludf.DUMMYFUNCTION("""COMPUTED_VALUE"""),"X")</f>
        <v>X</v>
      </c>
      <c r="E88" s="56" t="str">
        <f>IFERROR(__xludf.DUMMYFUNCTION("""COMPUTED_VALUE"""),"투명접")</f>
        <v>투명접</v>
      </c>
      <c r="F88" s="56"/>
      <c r="G88" s="56"/>
      <c r="H88" s="56"/>
      <c r="I88" s="56" t="str">
        <f>IFERROR(__xludf.DUMMYFUNCTION("""COMPUTED_VALUE"""),"Roll")</f>
        <v>Roll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 t="str">
        <f>IFERROR(__xludf.DUMMYFUNCTION("""COMPUTED_VALUE"""),"타투전용지")</f>
        <v>타투전용지</v>
      </c>
      <c r="D89" s="56" t="str">
        <f>IFERROR(__xludf.DUMMYFUNCTION("""COMPUTED_VALUE"""),"X")</f>
        <v>X</v>
      </c>
      <c r="E89" s="56" t="str">
        <f>IFERROR(__xludf.DUMMYFUNCTION("""COMPUTED_VALUE"""),"타투")</f>
        <v>타투</v>
      </c>
      <c r="F89" s="56" t="str">
        <f>IFERROR(__xludf.DUMMYFUNCTION("""COMPUTED_VALUE"""),"A4(1000매)")</f>
        <v>A4(1000매)</v>
      </c>
      <c r="G89" s="56" t="str">
        <f>IFERROR(__xludf.DUMMYFUNCTION("""COMPUTED_VALUE"""),"210*297")</f>
        <v>210*297</v>
      </c>
      <c r="H89" s="57">
        <f>IFERROR(__xludf.DUMMYFUNCTION("""COMPUTED_VALUE"""),2000000.0)</f>
        <v>2000000</v>
      </c>
      <c r="I89" s="56"/>
      <c r="J89" s="56"/>
      <c r="K89" s="56" t="str">
        <f>IFERROR(__xludf.DUMMYFUNCTION("""COMPUTED_VALUE"""),"210x297")</f>
        <v>210x297</v>
      </c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 t="str">
        <f>IFERROR(__xludf.DUMMYFUNCTION("""COMPUTED_VALUE"""),"합판인쇄")</f>
        <v>합판인쇄</v>
      </c>
      <c r="B90" s="56" t="str">
        <f>IFERROR(__xludf.DUMMYFUNCTION("""COMPUTED_VALUE"""),"봉투")</f>
        <v>봉투</v>
      </c>
      <c r="C90" s="56" t="str">
        <f>IFERROR(__xludf.DUMMYFUNCTION("""COMPUTED_VALUE"""),"모조 120g")</f>
        <v>모조 120g</v>
      </c>
      <c r="D90" s="56">
        <f>IFERROR(__xludf.DUMMYFUNCTION("""COMPUTED_VALUE"""),120.0)</f>
        <v>120</v>
      </c>
      <c r="E90" s="56" t="str">
        <f>IFERROR(__xludf.DUMMYFUNCTION("""COMPUTED_VALUE"""),"모조")</f>
        <v>모조</v>
      </c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 t="str">
        <f>IFERROR(__xludf.DUMMYFUNCTION("""COMPUTED_VALUE"""),"레자크체크백색 110g")</f>
        <v>레자크체크백색 110g</v>
      </c>
      <c r="D91" s="56">
        <f>IFERROR(__xludf.DUMMYFUNCTION("""COMPUTED_VALUE"""),110.0)</f>
        <v>110</v>
      </c>
      <c r="E91" s="56" t="str">
        <f>IFERROR(__xludf.DUMMYFUNCTION("""COMPUTED_VALUE"""),"체크")</f>
        <v>체크</v>
      </c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 t="str">
        <f>IFERROR(__xludf.DUMMYFUNCTION("""COMPUTED_VALUE"""),"레자크줄무늬백색 110g")</f>
        <v>레자크줄무늬백색 110g</v>
      </c>
      <c r="D92" s="56">
        <f>IFERROR(__xludf.DUMMYFUNCTION("""COMPUTED_VALUE"""),110.0)</f>
        <v>110</v>
      </c>
      <c r="E92" s="56" t="str">
        <f>IFERROR(__xludf.DUMMYFUNCTION("""COMPUTED_VALUE"""),"줄무늬")</f>
        <v>줄무늬</v>
      </c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 t="str">
        <f>IFERROR(__xludf.DUMMYFUNCTION("""COMPUTED_VALUE"""),"합판스티커")</f>
        <v>합판스티커</v>
      </c>
      <c r="C93" s="56" t="str">
        <f>IFERROR(__xludf.DUMMYFUNCTION("""COMPUTED_VALUE"""),"무광코팅스티커")</f>
        <v>무광코팅스티커</v>
      </c>
      <c r="D93" s="56">
        <f>IFERROR(__xludf.DUMMYFUNCTION("""COMPUTED_VALUE"""),90.0)</f>
        <v>90</v>
      </c>
      <c r="E93" s="56" t="str">
        <f>IFERROR(__xludf.DUMMYFUNCTION("""COMPUTED_VALUE"""),"무광")</f>
        <v>무광</v>
      </c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 t="str">
        <f>IFERROR(__xludf.DUMMYFUNCTION("""COMPUTED_VALUE"""),"유광코팅스티커")</f>
        <v>유광코팅스티커</v>
      </c>
      <c r="D94" s="56">
        <f>IFERROR(__xludf.DUMMYFUNCTION("""COMPUTED_VALUE"""),90.0)</f>
        <v>90</v>
      </c>
      <c r="E94" s="56" t="str">
        <f>IFERROR(__xludf.DUMMYFUNCTION("""COMPUTED_VALUE"""),"유광")</f>
        <v>유광</v>
      </c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 t="str">
        <f>IFERROR(__xludf.DUMMYFUNCTION("""COMPUTED_VALUE"""),"비코팅스티커")</f>
        <v>비코팅스티커</v>
      </c>
      <c r="D95" s="56">
        <f>IFERROR(__xludf.DUMMYFUNCTION("""COMPUTED_VALUE"""),90.0)</f>
        <v>90</v>
      </c>
      <c r="E95" s="56" t="str">
        <f>IFERROR(__xludf.DUMMYFUNCTION("""COMPUTED_VALUE"""),"비코팅")</f>
        <v>비코팅</v>
      </c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 t="str">
        <f>IFERROR(__xludf.DUMMYFUNCTION("""COMPUTED_VALUE"""),"유포스티커")</f>
        <v>유포스티커</v>
      </c>
      <c r="D96" s="56">
        <f>IFERROR(__xludf.DUMMYFUNCTION("""COMPUTED_VALUE"""),80.0)</f>
        <v>80</v>
      </c>
      <c r="E96" s="56" t="str">
        <f>IFERROR(__xludf.DUMMYFUNCTION("""COMPUTED_VALUE"""),"유포")</f>
        <v>유포</v>
      </c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 t="str">
        <f>IFERROR(__xludf.DUMMYFUNCTION("""COMPUTED_VALUE"""),"투명데드롱스티커")</f>
        <v>투명데드롱스티커</v>
      </c>
      <c r="D97" s="56">
        <f>IFERROR(__xludf.DUMMYFUNCTION("""COMPUTED_VALUE"""),25.0)</f>
        <v>25</v>
      </c>
      <c r="E97" s="56" t="str">
        <f>IFERROR(__xludf.DUMMYFUNCTION("""COMPUTED_VALUE"""),"투명데")</f>
        <v>투명데</v>
      </c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 t="str">
        <f>IFERROR(__xludf.DUMMYFUNCTION("""COMPUTED_VALUE"""),"은데드롱스티커")</f>
        <v>은데드롱스티커</v>
      </c>
      <c r="D98" s="56">
        <f>IFERROR(__xludf.DUMMYFUNCTION("""COMPUTED_VALUE"""),25.0)</f>
        <v>25</v>
      </c>
      <c r="E98" s="56" t="str">
        <f>IFERROR(__xludf.DUMMYFUNCTION("""COMPUTED_VALUE"""),"은데드")</f>
        <v>은데드</v>
      </c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 t="str">
        <f>IFERROR(__xludf.DUMMYFUNCTION("""COMPUTED_VALUE"""),"하드커버전용")</f>
        <v>하드커버전용</v>
      </c>
      <c r="B99" s="56"/>
      <c r="C99" s="56" t="str">
        <f>IFERROR(__xludf.DUMMYFUNCTION("""COMPUTED_VALUE"""),"하드커버전용지+무광코팅")</f>
        <v>하드커버전용지+무광코팅</v>
      </c>
      <c r="D99" s="56" t="str">
        <f>IFERROR(__xludf.DUMMYFUNCTION("""COMPUTED_VALUE"""),"X")</f>
        <v>X</v>
      </c>
      <c r="E99" s="56"/>
      <c r="F99" s="56" t="str">
        <f>IFERROR(__xludf.DUMMYFUNCTION("""COMPUTED_VALUE"""),"아트150")</f>
        <v>아트150</v>
      </c>
      <c r="G99" s="56"/>
      <c r="H99" s="56"/>
      <c r="I99" s="56" t="str">
        <f>IFERROR(__xludf.DUMMYFUNCTION("""COMPUTED_VALUE"""),"계산식")</f>
        <v>계산식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 t="str">
        <f>IFERROR(__xludf.DUMMYFUNCTION("""COMPUTED_VALUE"""),"레더하드커버 A5")</f>
        <v>레더하드커버 A5</v>
      </c>
      <c r="D100" s="56" t="str">
        <f>IFERROR(__xludf.DUMMYFUNCTION("""COMPUTED_VALUE"""),"X")</f>
        <v>X</v>
      </c>
      <c r="E100" s="56"/>
      <c r="F100" s="56" t="str">
        <f>IFERROR(__xludf.DUMMYFUNCTION("""COMPUTED_VALUE"""),"A5 하드커버 표지사이즈 기준 390x268기준 소재비")</f>
        <v>A5 하드커버 표지사이즈 기준 390x268기준 소재비</v>
      </c>
      <c r="G100" s="56"/>
      <c r="H100" s="56"/>
      <c r="I100" s="56">
        <f>IFERROR(__xludf.DUMMYFUNCTION("""COMPUTED_VALUE"""),4000.0)</f>
        <v>4000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 t="str">
        <f>IFERROR(__xludf.DUMMYFUNCTION("""COMPUTED_VALUE"""),"레더하드커버 A4")</f>
        <v>레더하드커버 A4</v>
      </c>
      <c r="D101" s="56" t="str">
        <f>IFERROR(__xludf.DUMMYFUNCTION("""COMPUTED_VALUE"""),"X")</f>
        <v>X</v>
      </c>
      <c r="E101" s="56"/>
      <c r="F101" s="56" t="str">
        <f>IFERROR(__xludf.DUMMYFUNCTION("""COMPUTED_VALUE"""),"A4 하드커버 표지사이즈 기준 532*355기준 소재비")</f>
        <v>A4 하드커버 표지사이즈 기준 532*355기준 소재비</v>
      </c>
      <c r="G101" s="56"/>
      <c r="H101" s="56"/>
      <c r="I101" s="56">
        <f>IFERROR(__xludf.DUMMYFUNCTION("""COMPUTED_VALUE"""),7000.0)</f>
        <v>7000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 t="str">
        <f>IFERROR(__xludf.DUMMYFUNCTION("""COMPUTED_VALUE"""),"실사출력")</f>
        <v>실사출력</v>
      </c>
      <c r="B102" s="56"/>
      <c r="C102" s="56" t="str">
        <f>IFERROR(__xludf.DUMMYFUNCTION("""COMPUTED_VALUE"""),"인화지")</f>
        <v>인화지</v>
      </c>
      <c r="D102" s="56" t="str">
        <f>IFERROR(__xludf.DUMMYFUNCTION("""COMPUTED_VALUE"""),"X")</f>
        <v>X</v>
      </c>
      <c r="E102" s="56" t="str">
        <f>IFERROR(__xludf.DUMMYFUNCTION("""COMPUTED_VALUE"""),"인화지")</f>
        <v>인화지</v>
      </c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 t="str">
        <f>IFERROR(__xludf.DUMMYFUNCTION("""COMPUTED_VALUE"""),"매트지")</f>
        <v>매트지</v>
      </c>
      <c r="D103" s="56" t="str">
        <f>IFERROR(__xludf.DUMMYFUNCTION("""COMPUTED_VALUE"""),"X")</f>
        <v>X</v>
      </c>
      <c r="E103" s="56" t="str">
        <f>IFERROR(__xludf.DUMMYFUNCTION("""COMPUTED_VALUE"""),"매트지")</f>
        <v>매트지</v>
      </c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 t="str">
        <f>IFERROR(__xludf.DUMMYFUNCTION("""COMPUTED_VALUE"""),"PET")</f>
        <v>PET</v>
      </c>
      <c r="D104" s="56" t="str">
        <f>IFERROR(__xludf.DUMMYFUNCTION("""COMPUTED_VALUE"""),"X")</f>
        <v>X</v>
      </c>
      <c r="E104" s="56" t="str">
        <f>IFERROR(__xludf.DUMMYFUNCTION("""COMPUTED_VALUE"""),"PET")</f>
        <v>PET</v>
      </c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 t="str">
        <f>IFERROR(__xludf.DUMMYFUNCTION("""COMPUTED_VALUE"""),"유포지")</f>
        <v>유포지</v>
      </c>
      <c r="D105" s="56" t="str">
        <f>IFERROR(__xludf.DUMMYFUNCTION("""COMPUTED_VALUE"""),"X")</f>
        <v>X</v>
      </c>
      <c r="E105" s="56" t="str">
        <f>IFERROR(__xludf.DUMMYFUNCTION("""COMPUTED_VALUE"""),"유포")</f>
        <v>유포</v>
      </c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 t="str">
        <f>IFERROR(__xludf.DUMMYFUNCTION("""COMPUTED_VALUE"""),"PVC")</f>
        <v>PVC</v>
      </c>
      <c r="D106" s="56" t="str">
        <f>IFERROR(__xludf.DUMMYFUNCTION("""COMPUTED_VALUE"""),"X")</f>
        <v>X</v>
      </c>
      <c r="E106" s="56" t="str">
        <f>IFERROR(__xludf.DUMMYFUNCTION("""COMPUTED_VALUE"""),"PVC")</f>
        <v>PVC</v>
      </c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 t="str">
        <f>IFERROR(__xludf.DUMMYFUNCTION("""COMPUTED_VALUE"""),"투명PVC")</f>
        <v>투명PVC</v>
      </c>
      <c r="D107" s="56" t="str">
        <f>IFERROR(__xludf.DUMMYFUNCTION("""COMPUTED_VALUE"""),"X")</f>
        <v>X</v>
      </c>
      <c r="E107" s="56" t="str">
        <f>IFERROR(__xludf.DUMMYFUNCTION("""COMPUTED_VALUE"""),"투명P")</f>
        <v>투명P</v>
      </c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 t="str">
        <f>IFERROR(__xludf.DUMMYFUNCTION("""COMPUTED_VALUE"""),"그래픽천")</f>
        <v>그래픽천</v>
      </c>
      <c r="D108" s="56" t="str">
        <f>IFERROR(__xludf.DUMMYFUNCTION("""COMPUTED_VALUE"""),"X")</f>
        <v>X</v>
      </c>
      <c r="E108" s="56" t="str">
        <f>IFERROR(__xludf.DUMMYFUNCTION("""COMPUTED_VALUE"""),"그래픽")</f>
        <v>그래픽</v>
      </c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 t="str">
        <f>IFERROR(__xludf.DUMMYFUNCTION("""COMPUTED_VALUE"""),"현수막천")</f>
        <v>현수막천</v>
      </c>
      <c r="D109" s="56" t="str">
        <f>IFERROR(__xludf.DUMMYFUNCTION("""COMPUTED_VALUE"""),"X")</f>
        <v>X</v>
      </c>
      <c r="E109" s="56" t="str">
        <f>IFERROR(__xludf.DUMMYFUNCTION("""COMPUTED_VALUE"""),"현수막")</f>
        <v>현수막</v>
      </c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 t="str">
        <f>IFERROR(__xludf.DUMMYFUNCTION("""COMPUTED_VALUE"""),"메쉬")</f>
        <v>메쉬</v>
      </c>
      <c r="D110" s="56" t="str">
        <f>IFERROR(__xludf.DUMMYFUNCTION("""COMPUTED_VALUE"""),"X")</f>
        <v>X</v>
      </c>
      <c r="E110" s="56" t="str">
        <f>IFERROR(__xludf.DUMMYFUNCTION("""COMPUTED_VALUE"""),"메쉬")</f>
        <v>메쉬</v>
      </c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 t="str">
        <f>IFERROR(__xludf.DUMMYFUNCTION("""COMPUTED_VALUE"""),"패브릭소재")</f>
        <v>패브릭소재</v>
      </c>
      <c r="C111" s="56" t="str">
        <f>IFERROR(__xludf.DUMMYFUNCTION("""COMPUTED_VALUE"""),"린넨")</f>
        <v>린넨</v>
      </c>
      <c r="D111" s="56" t="str">
        <f>IFERROR(__xludf.DUMMYFUNCTION("""COMPUTED_VALUE"""),"X")</f>
        <v>X</v>
      </c>
      <c r="E111" s="56" t="str">
        <f>IFERROR(__xludf.DUMMYFUNCTION("""COMPUTED_VALUE"""),"린넨")</f>
        <v>린넨</v>
      </c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 t="str">
        <f>IFERROR(__xludf.DUMMYFUNCTION("""COMPUTED_VALUE"""),"캔버스(옥스포드)")</f>
        <v>캔버스(옥스포드)</v>
      </c>
      <c r="D112" s="56" t="str">
        <f>IFERROR(__xludf.DUMMYFUNCTION("""COMPUTED_VALUE"""),"X")</f>
        <v>X</v>
      </c>
      <c r="E112" s="56" t="str">
        <f>IFERROR(__xludf.DUMMYFUNCTION("""COMPUTED_VALUE"""),"캔버스")</f>
        <v>캔버스</v>
      </c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 t="str">
        <f>IFERROR(__xludf.DUMMYFUNCTION("""COMPUTED_VALUE"""),"레더(화이트)")</f>
        <v>레더(화이트)</v>
      </c>
      <c r="D113" s="56" t="str">
        <f>IFERROR(__xludf.DUMMYFUNCTION("""COMPUTED_VALUE"""),"X")</f>
        <v>X</v>
      </c>
      <c r="E113" s="56" t="str">
        <f>IFERROR(__xludf.DUMMYFUNCTION("""COMPUTED_VALUE"""),"레더")</f>
        <v>레더</v>
      </c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 t="str">
        <f>IFERROR(__xludf.DUMMYFUNCTION("""COMPUTED_VALUE"""),"타이벡(하드)")</f>
        <v>타이벡(하드)</v>
      </c>
      <c r="D114" s="56" t="str">
        <f>IFERROR(__xludf.DUMMYFUNCTION("""COMPUTED_VALUE"""),"X")</f>
        <v>X</v>
      </c>
      <c r="E114" s="56" t="str">
        <f>IFERROR(__xludf.DUMMYFUNCTION("""COMPUTED_VALUE"""),"타이벡H")</f>
        <v>타이벡H</v>
      </c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 t="str">
        <f>IFERROR(__xludf.DUMMYFUNCTION("""COMPUTED_VALUE"""),"타이벡(소프트)")</f>
        <v>타이벡(소프트)</v>
      </c>
      <c r="D115" s="56" t="str">
        <f>IFERROR(__xludf.DUMMYFUNCTION("""COMPUTED_VALUE"""),"X")</f>
        <v>X</v>
      </c>
      <c r="E115" s="56" t="str">
        <f>IFERROR(__xludf.DUMMYFUNCTION("""COMPUTED_VALUE"""),"타이벡S")</f>
        <v>타이벡S</v>
      </c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 t="str">
        <f>IFERROR(__xludf.DUMMYFUNCTION("""COMPUTED_VALUE"""),"시트커팅")</f>
        <v>시트커팅</v>
      </c>
      <c r="C116" s="56" t="str">
        <f>IFERROR(__xludf.DUMMYFUNCTION("""COMPUTED_VALUE"""),"화이트")</f>
        <v>화이트</v>
      </c>
      <c r="D116" s="56" t="str">
        <f>IFERROR(__xludf.DUMMYFUNCTION("""COMPUTED_VALUE"""),"X")</f>
        <v>X</v>
      </c>
      <c r="E116" s="56" t="str">
        <f>IFERROR(__xludf.DUMMYFUNCTION("""COMPUTED_VALUE"""),"W시트")</f>
        <v>W시트</v>
      </c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 t="str">
        <f>IFERROR(__xludf.DUMMYFUNCTION("""COMPUTED_VALUE"""),"블랙")</f>
        <v>블랙</v>
      </c>
      <c r="D117" s="56" t="str">
        <f>IFERROR(__xludf.DUMMYFUNCTION("""COMPUTED_VALUE"""),"X")</f>
        <v>X</v>
      </c>
      <c r="E117" s="56" t="str">
        <f>IFERROR(__xludf.DUMMYFUNCTION("""COMPUTED_VALUE"""),"B시트")</f>
        <v>B시트</v>
      </c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 t="str">
        <f>IFERROR(__xludf.DUMMYFUNCTION("""COMPUTED_VALUE"""),"홀로그램")</f>
        <v>홀로그램</v>
      </c>
      <c r="D118" s="56" t="str">
        <f>IFERROR(__xludf.DUMMYFUNCTION("""COMPUTED_VALUE"""),"X")</f>
        <v>X</v>
      </c>
      <c r="E118" s="56" t="str">
        <f>IFERROR(__xludf.DUMMYFUNCTION("""COMPUTED_VALUE"""),"H시트")</f>
        <v>H시트</v>
      </c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 t="str">
        <f>IFERROR(__xludf.DUMMYFUNCTION("""COMPUTED_VALUE"""),"아크릴")</f>
        <v>아크릴</v>
      </c>
      <c r="B119" s="56" t="str">
        <f>IFERROR(__xludf.DUMMYFUNCTION("""COMPUTED_VALUE"""),"아크릴")</f>
        <v>아크릴</v>
      </c>
      <c r="C119" s="56" t="str">
        <f>IFERROR(__xludf.DUMMYFUNCTION("""COMPUTED_VALUE"""),"투명아크릴 ")</f>
        <v>투명아크릴 </v>
      </c>
      <c r="D119" s="56" t="str">
        <f>IFERROR(__xludf.DUMMYFUNCTION("""COMPUTED_VALUE"""),"3mm")</f>
        <v>3mm</v>
      </c>
      <c r="E119" s="56" t="str">
        <f>IFERROR(__xludf.DUMMYFUNCTION("""COMPUTED_VALUE"""),"투명A")</f>
        <v>투명A</v>
      </c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 t="str">
        <f>IFERROR(__xludf.DUMMYFUNCTION("""COMPUTED_VALUE"""),"투명아크릴 ")</f>
        <v>투명아크릴 </v>
      </c>
      <c r="D120" s="56" t="str">
        <f>IFERROR(__xludf.DUMMYFUNCTION("""COMPUTED_VALUE"""),"1.5mm")</f>
        <v>1.5mm</v>
      </c>
      <c r="E120" s="56" t="str">
        <f>IFERROR(__xludf.DUMMYFUNCTION("""COMPUTED_VALUE"""),"투명A")</f>
        <v>투명A</v>
      </c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 t="str">
        <f>IFERROR(__xludf.DUMMYFUNCTION("""COMPUTED_VALUE"""),"화이트아크릴")</f>
        <v>화이트아크릴</v>
      </c>
      <c r="D121" s="56" t="str">
        <f>IFERROR(__xludf.DUMMYFUNCTION("""COMPUTED_VALUE"""),"3mm")</f>
        <v>3mm</v>
      </c>
      <c r="E121" s="56" t="str">
        <f>IFERROR(__xludf.DUMMYFUNCTION("""COMPUTED_VALUE"""),"화이트A")</f>
        <v>화이트A</v>
      </c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 t="str">
        <f>IFERROR(__xludf.DUMMYFUNCTION("""COMPUTED_VALUE"""),"블랙아크릴")</f>
        <v>블랙아크릴</v>
      </c>
      <c r="D122" s="56" t="str">
        <f>IFERROR(__xludf.DUMMYFUNCTION("""COMPUTED_VALUE"""),"3mm")</f>
        <v>3mm</v>
      </c>
      <c r="E122" s="56" t="str">
        <f>IFERROR(__xludf.DUMMYFUNCTION("""COMPUTED_VALUE"""),"블랙A")</f>
        <v>블랙A</v>
      </c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 t="str">
        <f>IFERROR(__xludf.DUMMYFUNCTION("""COMPUTED_VALUE"""),"골드아크릴")</f>
        <v>골드아크릴</v>
      </c>
      <c r="D123" s="56" t="str">
        <f>IFERROR(__xludf.DUMMYFUNCTION("""COMPUTED_VALUE"""),"3mm")</f>
        <v>3mm</v>
      </c>
      <c r="E123" s="56" t="str">
        <f>IFERROR(__xludf.DUMMYFUNCTION("""COMPUTED_VALUE"""),"골드A")</f>
        <v>골드A</v>
      </c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 t="str">
        <f>IFERROR(__xludf.DUMMYFUNCTION("""COMPUTED_VALUE"""),"실버아크릴")</f>
        <v>실버아크릴</v>
      </c>
      <c r="D124" s="56" t="str">
        <f>IFERROR(__xludf.DUMMYFUNCTION("""COMPUTED_VALUE"""),"3mm")</f>
        <v>3mm</v>
      </c>
      <c r="E124" s="56" t="str">
        <f>IFERROR(__xludf.DUMMYFUNCTION("""COMPUTED_VALUE"""),"실버A")</f>
        <v>실버A</v>
      </c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5" width="10.63"/>
    <col customWidth="1" min="6" max="11" width="11.0"/>
  </cols>
  <sheetData>
    <row r="1" ht="26.25" customHeight="1">
      <c r="A1" s="61" t="s">
        <v>334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ht="15.75" customHeight="1">
      <c r="A2" s="63"/>
      <c r="B2" s="63" t="s">
        <v>335</v>
      </c>
      <c r="D2" s="63" t="s">
        <v>336</v>
      </c>
      <c r="F2" s="64" t="s">
        <v>337</v>
      </c>
      <c r="H2" s="64" t="s">
        <v>338</v>
      </c>
      <c r="J2" s="64" t="s">
        <v>339</v>
      </c>
      <c r="L2" s="63" t="s">
        <v>340</v>
      </c>
      <c r="N2" s="63" t="s">
        <v>341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ht="15.75" customHeight="1">
      <c r="A3" s="65" t="s">
        <v>342</v>
      </c>
      <c r="B3" s="63" t="s">
        <v>343</v>
      </c>
      <c r="C3" s="63" t="s">
        <v>344</v>
      </c>
      <c r="D3" s="63" t="s">
        <v>343</v>
      </c>
      <c r="E3" s="63" t="s">
        <v>344</v>
      </c>
      <c r="F3" s="64" t="s">
        <v>343</v>
      </c>
      <c r="G3" s="64" t="s">
        <v>344</v>
      </c>
      <c r="H3" s="64" t="s">
        <v>343</v>
      </c>
      <c r="I3" s="64" t="s">
        <v>344</v>
      </c>
      <c r="J3" s="64" t="s">
        <v>343</v>
      </c>
      <c r="K3" s="64" t="s">
        <v>344</v>
      </c>
      <c r="L3" s="64" t="s">
        <v>343</v>
      </c>
      <c r="M3" s="64" t="s">
        <v>344</v>
      </c>
      <c r="N3" s="64" t="s">
        <v>343</v>
      </c>
      <c r="O3" s="64" t="s">
        <v>344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ht="15.75" customHeight="1">
      <c r="A4" s="66">
        <v>1.0</v>
      </c>
      <c r="B4" s="66">
        <v>3000.0</v>
      </c>
      <c r="C4" s="66">
        <v>4000.0</v>
      </c>
      <c r="D4" s="66">
        <v>4000.0</v>
      </c>
      <c r="E4" s="66">
        <v>6000.0</v>
      </c>
      <c r="F4" s="66">
        <v>3000.0</v>
      </c>
      <c r="G4" s="66">
        <v>6000.0</v>
      </c>
      <c r="H4" s="66">
        <v>3000.0</v>
      </c>
      <c r="I4" s="66">
        <v>6000.0</v>
      </c>
      <c r="J4" s="66">
        <v>3000.0</v>
      </c>
      <c r="K4" s="66">
        <v>6000.0</v>
      </c>
      <c r="L4" s="66">
        <v>3000.0</v>
      </c>
      <c r="M4" s="66">
        <v>6000.0</v>
      </c>
      <c r="N4" s="67">
        <v>3000.0</v>
      </c>
      <c r="O4" s="67">
        <v>6000.0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ht="15.75" customHeight="1">
      <c r="A5" s="66">
        <v>2.0</v>
      </c>
      <c r="B5" s="66">
        <v>2000.0</v>
      </c>
      <c r="C5" s="66">
        <v>2900.0</v>
      </c>
      <c r="D5" s="66">
        <v>2800.0</v>
      </c>
      <c r="E5" s="66">
        <v>4600.0</v>
      </c>
      <c r="F5" s="66">
        <v>2500.0</v>
      </c>
      <c r="G5" s="66">
        <v>5000.0</v>
      </c>
      <c r="H5" s="66">
        <v>2500.0</v>
      </c>
      <c r="I5" s="66">
        <v>5000.0</v>
      </c>
      <c r="J5" s="66">
        <v>2500.0</v>
      </c>
      <c r="K5" s="66">
        <v>5000.0</v>
      </c>
      <c r="L5" s="66">
        <v>2500.0</v>
      </c>
      <c r="M5" s="66">
        <v>5000.0</v>
      </c>
      <c r="N5" s="67">
        <v>2500.0</v>
      </c>
      <c r="O5" s="67">
        <v>5000.0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ht="15.75" customHeight="1">
      <c r="A6" s="66">
        <v>3.0</v>
      </c>
      <c r="B6" s="66">
        <v>1600.0</v>
      </c>
      <c r="C6" s="66">
        <v>2500.0</v>
      </c>
      <c r="D6" s="66">
        <v>2500.0</v>
      </c>
      <c r="E6" s="66">
        <v>4300.0</v>
      </c>
      <c r="F6" s="66">
        <v>2300.0</v>
      </c>
      <c r="G6" s="66">
        <v>4600.0</v>
      </c>
      <c r="H6" s="66">
        <v>2300.0</v>
      </c>
      <c r="I6" s="66">
        <v>4600.0</v>
      </c>
      <c r="J6" s="66">
        <v>2300.0</v>
      </c>
      <c r="K6" s="66">
        <v>4600.0</v>
      </c>
      <c r="L6" s="66">
        <v>2300.0</v>
      </c>
      <c r="M6" s="66">
        <v>4600.0</v>
      </c>
      <c r="N6" s="67">
        <v>2300.0</v>
      </c>
      <c r="O6" s="67">
        <v>4600.0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ht="15.75" customHeight="1">
      <c r="A7" s="66">
        <v>4.0</v>
      </c>
      <c r="B7" s="66">
        <v>1400.0</v>
      </c>
      <c r="C7" s="66">
        <v>2200.0</v>
      </c>
      <c r="D7" s="66">
        <v>2000.0</v>
      </c>
      <c r="E7" s="66">
        <v>3500.0</v>
      </c>
      <c r="F7" s="66">
        <v>2100.0</v>
      </c>
      <c r="G7" s="66">
        <v>4200.0</v>
      </c>
      <c r="H7" s="66">
        <v>2100.0</v>
      </c>
      <c r="I7" s="66">
        <v>4200.0</v>
      </c>
      <c r="J7" s="66">
        <v>2300.0</v>
      </c>
      <c r="K7" s="66">
        <v>4600.0</v>
      </c>
      <c r="L7" s="66">
        <v>2300.0</v>
      </c>
      <c r="M7" s="66">
        <v>4600.0</v>
      </c>
      <c r="N7" s="67">
        <v>2300.0</v>
      </c>
      <c r="O7" s="67">
        <v>4600.0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ht="15.75" customHeight="1">
      <c r="A8" s="66">
        <v>5.0</v>
      </c>
      <c r="B8" s="66">
        <v>1200.0</v>
      </c>
      <c r="C8" s="66">
        <v>2000.0</v>
      </c>
      <c r="D8" s="66">
        <v>1700.0</v>
      </c>
      <c r="E8" s="66">
        <v>3000.0</v>
      </c>
      <c r="F8" s="66">
        <v>1900.0</v>
      </c>
      <c r="G8" s="66">
        <v>3800.0</v>
      </c>
      <c r="H8" s="66">
        <v>1900.0</v>
      </c>
      <c r="I8" s="66">
        <v>3800.0</v>
      </c>
      <c r="J8" s="66">
        <v>2100.0</v>
      </c>
      <c r="K8" s="66">
        <v>4200.0</v>
      </c>
      <c r="L8" s="66">
        <v>2100.0</v>
      </c>
      <c r="M8" s="66">
        <v>4200.0</v>
      </c>
      <c r="N8" s="67">
        <v>2100.0</v>
      </c>
      <c r="O8" s="67">
        <v>4200.0</v>
      </c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ht="15.75" customHeight="1">
      <c r="A9" s="66">
        <v>6.0</v>
      </c>
      <c r="B9" s="66">
        <v>900.0</v>
      </c>
      <c r="C9" s="66">
        <v>1900.0</v>
      </c>
      <c r="D9" s="66">
        <v>1500.0</v>
      </c>
      <c r="E9" s="66">
        <v>2600.0</v>
      </c>
      <c r="F9" s="66">
        <v>1800.0</v>
      </c>
      <c r="G9" s="66">
        <v>3600.0</v>
      </c>
      <c r="H9" s="66">
        <v>1800.0</v>
      </c>
      <c r="I9" s="66">
        <v>3600.0</v>
      </c>
      <c r="J9" s="66">
        <v>2000.0</v>
      </c>
      <c r="K9" s="66">
        <v>4000.0</v>
      </c>
      <c r="L9" s="66">
        <v>2000.0</v>
      </c>
      <c r="M9" s="66">
        <v>4000.0</v>
      </c>
      <c r="N9" s="67">
        <v>2000.0</v>
      </c>
      <c r="O9" s="67">
        <v>4000.0</v>
      </c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15.75" customHeight="1">
      <c r="A10" s="66">
        <v>7.0</v>
      </c>
      <c r="B10" s="66">
        <v>800.0</v>
      </c>
      <c r="C10" s="66">
        <v>1700.0</v>
      </c>
      <c r="D10" s="66">
        <v>1300.0</v>
      </c>
      <c r="E10" s="66">
        <v>2300.0</v>
      </c>
      <c r="F10" s="66">
        <v>1700.0</v>
      </c>
      <c r="G10" s="66">
        <v>3400.0</v>
      </c>
      <c r="H10" s="66">
        <v>1700.0</v>
      </c>
      <c r="I10" s="66">
        <v>3400.0</v>
      </c>
      <c r="J10" s="66">
        <v>1900.0</v>
      </c>
      <c r="K10" s="66">
        <v>3800.0</v>
      </c>
      <c r="L10" s="66">
        <v>1900.0</v>
      </c>
      <c r="M10" s="66">
        <v>3800.0</v>
      </c>
      <c r="N10" s="67">
        <v>1900.0</v>
      </c>
      <c r="O10" s="67">
        <v>3800.0</v>
      </c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15.75" customHeight="1">
      <c r="A11" s="66">
        <v>8.0</v>
      </c>
      <c r="B11" s="66">
        <v>700.0</v>
      </c>
      <c r="C11" s="66">
        <v>1500.0</v>
      </c>
      <c r="D11" s="66">
        <v>1200.0</v>
      </c>
      <c r="E11" s="66">
        <v>2100.0</v>
      </c>
      <c r="F11" s="66">
        <v>1600.0</v>
      </c>
      <c r="G11" s="66">
        <v>3200.0</v>
      </c>
      <c r="H11" s="66">
        <v>1600.0</v>
      </c>
      <c r="I11" s="66">
        <v>3200.0</v>
      </c>
      <c r="J11" s="66">
        <v>1800.0</v>
      </c>
      <c r="K11" s="66">
        <v>3600.0</v>
      </c>
      <c r="L11" s="66">
        <v>1800.0</v>
      </c>
      <c r="M11" s="66">
        <v>3600.0</v>
      </c>
      <c r="N11" s="67">
        <v>1800.0</v>
      </c>
      <c r="O11" s="67">
        <v>3600.0</v>
      </c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15.75" customHeight="1">
      <c r="A12" s="66">
        <v>9.0</v>
      </c>
      <c r="B12" s="66">
        <v>600.0</v>
      </c>
      <c r="C12" s="66">
        <v>1300.0</v>
      </c>
      <c r="D12" s="66">
        <v>1100.0</v>
      </c>
      <c r="E12" s="66">
        <v>1900.0</v>
      </c>
      <c r="F12" s="66">
        <v>1500.0</v>
      </c>
      <c r="G12" s="66">
        <v>3000.0</v>
      </c>
      <c r="H12" s="66">
        <v>1500.0</v>
      </c>
      <c r="I12" s="66">
        <v>3000.0</v>
      </c>
      <c r="J12" s="66">
        <v>1700.0</v>
      </c>
      <c r="K12" s="66">
        <v>3400.0</v>
      </c>
      <c r="L12" s="66">
        <v>1700.0</v>
      </c>
      <c r="M12" s="66">
        <v>3400.0</v>
      </c>
      <c r="N12" s="67">
        <v>1700.0</v>
      </c>
      <c r="O12" s="67">
        <v>3400.0</v>
      </c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15.75" customHeight="1">
      <c r="A13" s="66">
        <v>10.0</v>
      </c>
      <c r="B13" s="66">
        <v>500.0</v>
      </c>
      <c r="C13" s="66">
        <v>1200.0</v>
      </c>
      <c r="D13" s="66">
        <v>1000.0</v>
      </c>
      <c r="E13" s="66">
        <v>1600.0</v>
      </c>
      <c r="F13" s="66">
        <v>1400.0</v>
      </c>
      <c r="G13" s="66">
        <v>2800.0</v>
      </c>
      <c r="H13" s="66">
        <v>1400.0</v>
      </c>
      <c r="I13" s="66">
        <v>2800.0</v>
      </c>
      <c r="J13" s="66">
        <v>1600.0</v>
      </c>
      <c r="K13" s="66">
        <v>3200.0</v>
      </c>
      <c r="L13" s="66">
        <v>1600.0</v>
      </c>
      <c r="M13" s="66">
        <v>3200.0</v>
      </c>
      <c r="N13" s="67">
        <v>1600.0</v>
      </c>
      <c r="O13" s="67">
        <v>3200.0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15.75" customHeight="1">
      <c r="A14" s="66">
        <v>15.0</v>
      </c>
      <c r="B14" s="66">
        <v>450.0</v>
      </c>
      <c r="C14" s="66">
        <v>900.0</v>
      </c>
      <c r="D14" s="66">
        <v>900.0</v>
      </c>
      <c r="E14" s="66">
        <v>1800.0</v>
      </c>
      <c r="F14" s="66">
        <v>1350.0</v>
      </c>
      <c r="G14" s="66">
        <v>2700.0</v>
      </c>
      <c r="H14" s="66">
        <v>1350.0</v>
      </c>
      <c r="I14" s="66">
        <v>2700.0</v>
      </c>
      <c r="J14" s="66">
        <v>1500.0</v>
      </c>
      <c r="K14" s="66">
        <v>3000.0</v>
      </c>
      <c r="L14" s="66">
        <v>1500.0</v>
      </c>
      <c r="M14" s="66">
        <v>3000.0</v>
      </c>
      <c r="N14" s="67">
        <v>1500.0</v>
      </c>
      <c r="O14" s="67">
        <v>3000.0</v>
      </c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15.75" customHeight="1">
      <c r="A15" s="66">
        <v>20.0</v>
      </c>
      <c r="B15" s="66">
        <v>400.0</v>
      </c>
      <c r="C15" s="66">
        <v>800.0</v>
      </c>
      <c r="D15" s="66">
        <v>850.0</v>
      </c>
      <c r="E15" s="66">
        <v>1700.0</v>
      </c>
      <c r="F15" s="66">
        <v>1300.0</v>
      </c>
      <c r="G15" s="66">
        <v>2600.0</v>
      </c>
      <c r="H15" s="66">
        <v>1300.0</v>
      </c>
      <c r="I15" s="66">
        <v>2600.0</v>
      </c>
      <c r="J15" s="66">
        <v>1450.0</v>
      </c>
      <c r="K15" s="66">
        <v>2900.0</v>
      </c>
      <c r="L15" s="66">
        <v>1450.0</v>
      </c>
      <c r="M15" s="66">
        <v>2900.0</v>
      </c>
      <c r="N15" s="67">
        <v>1450.0</v>
      </c>
      <c r="O15" s="67">
        <v>2900.0</v>
      </c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15.75" customHeight="1">
      <c r="A16" s="66">
        <v>25.0</v>
      </c>
      <c r="B16" s="66">
        <v>350.0</v>
      </c>
      <c r="C16" s="66">
        <v>700.0</v>
      </c>
      <c r="D16" s="66">
        <v>800.0</v>
      </c>
      <c r="E16" s="66">
        <v>1600.0</v>
      </c>
      <c r="F16" s="66">
        <v>1250.0</v>
      </c>
      <c r="G16" s="66">
        <v>2500.0</v>
      </c>
      <c r="H16" s="66">
        <v>1250.0</v>
      </c>
      <c r="I16" s="66">
        <v>2500.0</v>
      </c>
      <c r="J16" s="66">
        <v>1400.0</v>
      </c>
      <c r="K16" s="66">
        <v>2800.0</v>
      </c>
      <c r="L16" s="66">
        <v>1400.0</v>
      </c>
      <c r="M16" s="66">
        <v>2800.0</v>
      </c>
      <c r="N16" s="67">
        <v>1400.0</v>
      </c>
      <c r="O16" s="67">
        <v>2800.0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15.75" customHeight="1">
      <c r="A17" s="66">
        <v>30.0</v>
      </c>
      <c r="B17" s="66">
        <v>300.0</v>
      </c>
      <c r="C17" s="66">
        <v>600.0</v>
      </c>
      <c r="D17" s="66">
        <v>750.0</v>
      </c>
      <c r="E17" s="66">
        <v>1500.0</v>
      </c>
      <c r="F17" s="66">
        <v>1200.0</v>
      </c>
      <c r="G17" s="66">
        <v>2400.0</v>
      </c>
      <c r="H17" s="66">
        <v>1200.0</v>
      </c>
      <c r="I17" s="66">
        <v>2400.0</v>
      </c>
      <c r="J17" s="66">
        <v>1350.0</v>
      </c>
      <c r="K17" s="66">
        <v>2700.0</v>
      </c>
      <c r="L17" s="66">
        <v>1350.0</v>
      </c>
      <c r="M17" s="66">
        <v>2700.0</v>
      </c>
      <c r="N17" s="67">
        <v>1350.0</v>
      </c>
      <c r="O17" s="67">
        <v>2700.0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15.75" customHeight="1">
      <c r="A18" s="66">
        <v>35.0</v>
      </c>
      <c r="B18" s="66">
        <v>280.0</v>
      </c>
      <c r="C18" s="66">
        <v>560.0</v>
      </c>
      <c r="D18" s="66">
        <v>700.0</v>
      </c>
      <c r="E18" s="66">
        <v>1400.0</v>
      </c>
      <c r="F18" s="66">
        <v>1150.0</v>
      </c>
      <c r="G18" s="66">
        <v>2300.0</v>
      </c>
      <c r="H18" s="66">
        <v>1150.0</v>
      </c>
      <c r="I18" s="66">
        <v>2300.0</v>
      </c>
      <c r="J18" s="66">
        <v>1300.0</v>
      </c>
      <c r="K18" s="66">
        <v>2600.0</v>
      </c>
      <c r="L18" s="66">
        <v>1300.0</v>
      </c>
      <c r="M18" s="66">
        <v>2600.0</v>
      </c>
      <c r="N18" s="67">
        <v>1300.0</v>
      </c>
      <c r="O18" s="67">
        <v>2600.0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ht="15.75" customHeight="1">
      <c r="A19" s="66">
        <v>40.0</v>
      </c>
      <c r="B19" s="66">
        <v>250.0</v>
      </c>
      <c r="C19" s="66">
        <v>500.0</v>
      </c>
      <c r="D19" s="66">
        <v>650.0</v>
      </c>
      <c r="E19" s="66">
        <v>1300.0</v>
      </c>
      <c r="F19" s="66">
        <v>1100.0</v>
      </c>
      <c r="G19" s="66">
        <v>2200.0</v>
      </c>
      <c r="H19" s="66">
        <v>1100.0</v>
      </c>
      <c r="I19" s="66">
        <v>2200.0</v>
      </c>
      <c r="J19" s="66">
        <v>1250.0</v>
      </c>
      <c r="K19" s="66">
        <v>2500.0</v>
      </c>
      <c r="L19" s="66">
        <v>1250.0</v>
      </c>
      <c r="M19" s="66">
        <v>2500.0</v>
      </c>
      <c r="N19" s="67">
        <v>1250.0</v>
      </c>
      <c r="O19" s="67">
        <v>2500.0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ht="15.75" customHeight="1">
      <c r="A20" s="66">
        <v>45.0</v>
      </c>
      <c r="B20" s="66">
        <v>250.0</v>
      </c>
      <c r="C20" s="66">
        <v>500.0</v>
      </c>
      <c r="D20" s="66">
        <v>600.0</v>
      </c>
      <c r="E20" s="66">
        <v>1200.0</v>
      </c>
      <c r="F20" s="66">
        <v>1050.0</v>
      </c>
      <c r="G20" s="66">
        <v>2100.0</v>
      </c>
      <c r="H20" s="66">
        <v>1050.0</v>
      </c>
      <c r="I20" s="66">
        <v>2100.0</v>
      </c>
      <c r="J20" s="66">
        <v>1200.0</v>
      </c>
      <c r="K20" s="66">
        <v>2400.0</v>
      </c>
      <c r="L20" s="66">
        <v>1200.0</v>
      </c>
      <c r="M20" s="66">
        <v>2400.0</v>
      </c>
      <c r="N20" s="67">
        <v>1200.0</v>
      </c>
      <c r="O20" s="67">
        <v>2400.0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ht="15.75" customHeight="1">
      <c r="A21" s="66">
        <v>50.0</v>
      </c>
      <c r="B21" s="66">
        <v>250.0</v>
      </c>
      <c r="C21" s="66">
        <v>500.0</v>
      </c>
      <c r="D21" s="66">
        <v>550.0</v>
      </c>
      <c r="E21" s="66">
        <v>1100.0</v>
      </c>
      <c r="F21" s="66">
        <v>1000.0</v>
      </c>
      <c r="G21" s="66">
        <v>2000.0</v>
      </c>
      <c r="H21" s="66">
        <v>1000.0</v>
      </c>
      <c r="I21" s="66">
        <v>2000.0</v>
      </c>
      <c r="J21" s="66">
        <v>1150.0</v>
      </c>
      <c r="K21" s="66">
        <v>2300.0</v>
      </c>
      <c r="L21" s="66">
        <v>1150.0</v>
      </c>
      <c r="M21" s="66">
        <v>2300.0</v>
      </c>
      <c r="N21" s="67">
        <v>1150.0</v>
      </c>
      <c r="O21" s="67">
        <v>2300.0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ht="15.75" customHeight="1">
      <c r="A22" s="66">
        <v>60.0</v>
      </c>
      <c r="B22" s="66">
        <v>200.0</v>
      </c>
      <c r="C22" s="66">
        <v>400.0</v>
      </c>
      <c r="D22" s="66">
        <v>500.0</v>
      </c>
      <c r="E22" s="66">
        <v>1000.0</v>
      </c>
      <c r="F22" s="66">
        <v>1000.0</v>
      </c>
      <c r="G22" s="66">
        <v>2000.0</v>
      </c>
      <c r="H22" s="66">
        <v>1000.0</v>
      </c>
      <c r="I22" s="66">
        <v>2000.0</v>
      </c>
      <c r="J22" s="66">
        <v>1150.0</v>
      </c>
      <c r="K22" s="66">
        <v>2300.0</v>
      </c>
      <c r="L22" s="66">
        <v>1150.0</v>
      </c>
      <c r="M22" s="66">
        <v>2300.0</v>
      </c>
      <c r="N22" s="67">
        <v>1150.0</v>
      </c>
      <c r="O22" s="67">
        <v>2300.0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ht="15.75" customHeight="1">
      <c r="A23" s="66">
        <v>70.0</v>
      </c>
      <c r="B23" s="66">
        <v>200.0</v>
      </c>
      <c r="C23" s="66">
        <v>400.0</v>
      </c>
      <c r="D23" s="66">
        <v>450.0</v>
      </c>
      <c r="E23" s="66">
        <v>900.0</v>
      </c>
      <c r="F23" s="66">
        <v>950.0</v>
      </c>
      <c r="G23" s="66">
        <v>1900.0</v>
      </c>
      <c r="H23" s="66">
        <v>950.0</v>
      </c>
      <c r="I23" s="66">
        <v>1900.0</v>
      </c>
      <c r="J23" s="66">
        <v>1100.0</v>
      </c>
      <c r="K23" s="66">
        <v>2200.0</v>
      </c>
      <c r="L23" s="66">
        <v>1100.0</v>
      </c>
      <c r="M23" s="66">
        <v>2200.0</v>
      </c>
      <c r="N23" s="67">
        <v>1100.0</v>
      </c>
      <c r="O23" s="67">
        <v>2200.0</v>
      </c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ht="15.75" customHeight="1">
      <c r="A24" s="66">
        <v>80.0</v>
      </c>
      <c r="B24" s="66">
        <v>200.0</v>
      </c>
      <c r="C24" s="66">
        <v>400.0</v>
      </c>
      <c r="D24" s="66">
        <v>400.0</v>
      </c>
      <c r="E24" s="66">
        <v>800.0</v>
      </c>
      <c r="F24" s="66">
        <v>900.0</v>
      </c>
      <c r="G24" s="66">
        <v>1800.0</v>
      </c>
      <c r="H24" s="66">
        <v>900.0</v>
      </c>
      <c r="I24" s="66">
        <v>1800.0</v>
      </c>
      <c r="J24" s="66">
        <v>1050.0</v>
      </c>
      <c r="K24" s="66">
        <v>2100.0</v>
      </c>
      <c r="L24" s="66">
        <v>1050.0</v>
      </c>
      <c r="M24" s="66">
        <v>2100.0</v>
      </c>
      <c r="N24" s="67">
        <v>1050.0</v>
      </c>
      <c r="O24" s="67">
        <v>2100.0</v>
      </c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ht="15.75" customHeight="1">
      <c r="A25" s="66">
        <v>90.0</v>
      </c>
      <c r="B25" s="66">
        <v>200.0</v>
      </c>
      <c r="C25" s="66">
        <v>400.0</v>
      </c>
      <c r="D25" s="66">
        <v>350.0</v>
      </c>
      <c r="E25" s="66">
        <v>700.0</v>
      </c>
      <c r="F25" s="66">
        <v>850.0</v>
      </c>
      <c r="G25" s="66">
        <v>1700.0</v>
      </c>
      <c r="H25" s="66">
        <v>850.0</v>
      </c>
      <c r="I25" s="66">
        <v>1700.0</v>
      </c>
      <c r="J25" s="66">
        <v>1000.0</v>
      </c>
      <c r="K25" s="66">
        <v>2000.0</v>
      </c>
      <c r="L25" s="66">
        <v>1000.0</v>
      </c>
      <c r="M25" s="66">
        <v>2000.0</v>
      </c>
      <c r="N25" s="67">
        <v>1000.0</v>
      </c>
      <c r="O25" s="67">
        <v>2000.0</v>
      </c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ht="15.75" customHeight="1">
      <c r="A26" s="66">
        <v>100.0</v>
      </c>
      <c r="B26" s="66">
        <v>200.0</v>
      </c>
      <c r="C26" s="66">
        <v>400.0</v>
      </c>
      <c r="D26" s="66">
        <v>350.0</v>
      </c>
      <c r="E26" s="66">
        <v>700.0</v>
      </c>
      <c r="F26" s="66">
        <v>800.0</v>
      </c>
      <c r="G26" s="66">
        <v>1600.0</v>
      </c>
      <c r="H26" s="66">
        <v>800.0</v>
      </c>
      <c r="I26" s="66">
        <v>1600.0</v>
      </c>
      <c r="J26" s="66">
        <v>950.0</v>
      </c>
      <c r="K26" s="66">
        <v>1900.0</v>
      </c>
      <c r="L26" s="66">
        <v>950.0</v>
      </c>
      <c r="M26" s="66">
        <v>1900.0</v>
      </c>
      <c r="N26" s="67">
        <v>950.0</v>
      </c>
      <c r="O26" s="67">
        <v>1900.0</v>
      </c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ht="15.75" customHeight="1">
      <c r="A27" s="68">
        <v>150.0</v>
      </c>
      <c r="B27" s="66">
        <v>140.0</v>
      </c>
      <c r="C27" s="66">
        <v>280.0</v>
      </c>
      <c r="D27" s="66">
        <v>330.0</v>
      </c>
      <c r="E27" s="66">
        <v>660.0</v>
      </c>
      <c r="F27" s="66">
        <v>750.0</v>
      </c>
      <c r="G27" s="66">
        <v>1500.0</v>
      </c>
      <c r="H27" s="66">
        <v>750.0</v>
      </c>
      <c r="I27" s="66">
        <v>1500.0</v>
      </c>
      <c r="J27" s="66">
        <v>900.0</v>
      </c>
      <c r="K27" s="66">
        <v>1800.0</v>
      </c>
      <c r="L27" s="66">
        <v>900.0</v>
      </c>
      <c r="M27" s="66">
        <v>1800.0</v>
      </c>
      <c r="N27" s="67">
        <v>900.0</v>
      </c>
      <c r="O27" s="67">
        <v>1800.0</v>
      </c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ht="15.75" customHeight="1">
      <c r="A28" s="66">
        <v>200.0</v>
      </c>
      <c r="B28" s="66">
        <v>130.0</v>
      </c>
      <c r="C28" s="66">
        <v>260.0</v>
      </c>
      <c r="D28" s="66">
        <v>310.0</v>
      </c>
      <c r="E28" s="66">
        <v>620.0</v>
      </c>
      <c r="F28" s="66">
        <v>700.0</v>
      </c>
      <c r="G28" s="66">
        <v>1400.0</v>
      </c>
      <c r="H28" s="66">
        <v>700.0</v>
      </c>
      <c r="I28" s="66">
        <v>1400.0</v>
      </c>
      <c r="J28" s="66">
        <v>850.0</v>
      </c>
      <c r="K28" s="66">
        <v>1700.0</v>
      </c>
      <c r="L28" s="66">
        <v>850.0</v>
      </c>
      <c r="M28" s="66">
        <v>1700.0</v>
      </c>
      <c r="N28" s="67">
        <v>850.0</v>
      </c>
      <c r="O28" s="67">
        <v>1700.0</v>
      </c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ht="15.75" customHeight="1">
      <c r="A29" s="66">
        <v>250.0</v>
      </c>
      <c r="B29" s="66">
        <v>120.0</v>
      </c>
      <c r="C29" s="66">
        <v>240.0</v>
      </c>
      <c r="D29" s="66">
        <v>290.0</v>
      </c>
      <c r="E29" s="66">
        <v>580.0</v>
      </c>
      <c r="F29" s="66">
        <v>660.0</v>
      </c>
      <c r="G29" s="66">
        <v>1320.0</v>
      </c>
      <c r="H29" s="66">
        <v>660.0</v>
      </c>
      <c r="I29" s="66">
        <v>1320.0</v>
      </c>
      <c r="J29" s="66">
        <v>810.0</v>
      </c>
      <c r="K29" s="66">
        <v>1620.0</v>
      </c>
      <c r="L29" s="66">
        <v>810.0</v>
      </c>
      <c r="M29" s="66">
        <v>1620.0</v>
      </c>
      <c r="N29" s="67">
        <v>810.0</v>
      </c>
      <c r="O29" s="67">
        <v>1620.0</v>
      </c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ht="15.75" customHeight="1">
      <c r="A30" s="66">
        <v>300.0</v>
      </c>
      <c r="B30" s="66">
        <v>110.0</v>
      </c>
      <c r="C30" s="66">
        <v>220.0</v>
      </c>
      <c r="D30" s="66">
        <v>270.0</v>
      </c>
      <c r="E30" s="66">
        <v>540.0</v>
      </c>
      <c r="F30" s="66">
        <v>620.0</v>
      </c>
      <c r="G30" s="66">
        <v>1240.0</v>
      </c>
      <c r="H30" s="66">
        <v>620.0</v>
      </c>
      <c r="I30" s="66">
        <v>1240.0</v>
      </c>
      <c r="J30" s="66">
        <v>770.0</v>
      </c>
      <c r="K30" s="66">
        <v>1540.0</v>
      </c>
      <c r="L30" s="66">
        <v>770.0</v>
      </c>
      <c r="M30" s="66">
        <v>1540.0</v>
      </c>
      <c r="N30" s="67">
        <v>770.0</v>
      </c>
      <c r="O30" s="67">
        <v>1540.0</v>
      </c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ht="15.75" customHeight="1">
      <c r="A31" s="66">
        <v>350.0</v>
      </c>
      <c r="B31" s="66">
        <v>100.0</v>
      </c>
      <c r="C31" s="66">
        <v>200.0</v>
      </c>
      <c r="D31" s="66">
        <v>250.0</v>
      </c>
      <c r="E31" s="66">
        <v>500.0</v>
      </c>
      <c r="F31" s="66">
        <v>580.0</v>
      </c>
      <c r="G31" s="66">
        <v>1160.0</v>
      </c>
      <c r="H31" s="66">
        <v>580.0</v>
      </c>
      <c r="I31" s="66">
        <v>1160.0</v>
      </c>
      <c r="J31" s="66">
        <v>730.0</v>
      </c>
      <c r="K31" s="66">
        <v>1460.0</v>
      </c>
      <c r="L31" s="66">
        <v>730.0</v>
      </c>
      <c r="M31" s="66">
        <v>1460.0</v>
      </c>
      <c r="N31" s="67">
        <v>730.0</v>
      </c>
      <c r="O31" s="67">
        <v>1460.0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ht="15.75" customHeight="1">
      <c r="A32" s="66">
        <v>400.0</v>
      </c>
      <c r="B32" s="66">
        <v>90.0</v>
      </c>
      <c r="C32" s="66">
        <v>180.0</v>
      </c>
      <c r="D32" s="66">
        <v>230.0</v>
      </c>
      <c r="E32" s="66">
        <v>460.0</v>
      </c>
      <c r="F32" s="66">
        <v>540.0</v>
      </c>
      <c r="G32" s="66">
        <v>1080.0</v>
      </c>
      <c r="H32" s="66">
        <v>540.0</v>
      </c>
      <c r="I32" s="66">
        <v>1080.0</v>
      </c>
      <c r="J32" s="66">
        <v>690.0</v>
      </c>
      <c r="K32" s="66">
        <v>1380.0</v>
      </c>
      <c r="L32" s="66">
        <v>690.0</v>
      </c>
      <c r="M32" s="66">
        <v>1380.0</v>
      </c>
      <c r="N32" s="67">
        <v>690.0</v>
      </c>
      <c r="O32" s="67">
        <v>1380.0</v>
      </c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ht="15.75" customHeight="1">
      <c r="A33" s="66">
        <v>450.0</v>
      </c>
      <c r="B33" s="66">
        <v>80.0</v>
      </c>
      <c r="C33" s="66">
        <v>160.0</v>
      </c>
      <c r="D33" s="66">
        <v>210.0</v>
      </c>
      <c r="E33" s="66">
        <v>420.0</v>
      </c>
      <c r="F33" s="66">
        <v>500.0</v>
      </c>
      <c r="G33" s="66">
        <v>1000.0</v>
      </c>
      <c r="H33" s="66">
        <v>500.0</v>
      </c>
      <c r="I33" s="66">
        <v>1000.0</v>
      </c>
      <c r="J33" s="66">
        <v>650.0</v>
      </c>
      <c r="K33" s="66">
        <v>1300.0</v>
      </c>
      <c r="L33" s="66">
        <v>650.0</v>
      </c>
      <c r="M33" s="66">
        <v>1300.0</v>
      </c>
      <c r="N33" s="67">
        <v>650.0</v>
      </c>
      <c r="O33" s="67">
        <v>1300.0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ht="15.75" customHeight="1">
      <c r="A34" s="66">
        <v>500.0</v>
      </c>
      <c r="B34" s="66">
        <v>70.0</v>
      </c>
      <c r="C34" s="66">
        <v>140.0</v>
      </c>
      <c r="D34" s="66">
        <v>190.0</v>
      </c>
      <c r="E34" s="66">
        <v>380.0</v>
      </c>
      <c r="F34" s="66">
        <v>460.0</v>
      </c>
      <c r="G34" s="66">
        <v>920.0</v>
      </c>
      <c r="H34" s="66">
        <v>460.0</v>
      </c>
      <c r="I34" s="66">
        <v>920.0</v>
      </c>
      <c r="J34" s="66">
        <v>610.0</v>
      </c>
      <c r="K34" s="66">
        <v>1220.0</v>
      </c>
      <c r="L34" s="66">
        <v>610.0</v>
      </c>
      <c r="M34" s="66">
        <v>1220.0</v>
      </c>
      <c r="N34" s="67">
        <v>610.0</v>
      </c>
      <c r="O34" s="67">
        <v>1220.0</v>
      </c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ht="15.75" customHeight="1">
      <c r="A35" s="66">
        <v>600.0</v>
      </c>
      <c r="B35" s="66">
        <v>70.0</v>
      </c>
      <c r="C35" s="66">
        <v>140.0</v>
      </c>
      <c r="D35" s="66">
        <v>185.0</v>
      </c>
      <c r="E35" s="66">
        <v>370.0</v>
      </c>
      <c r="F35" s="66">
        <v>440.0</v>
      </c>
      <c r="G35" s="66">
        <v>880.0</v>
      </c>
      <c r="H35" s="66">
        <v>440.0</v>
      </c>
      <c r="I35" s="66">
        <v>880.0</v>
      </c>
      <c r="J35" s="66">
        <v>590.0</v>
      </c>
      <c r="K35" s="66">
        <v>1180.0</v>
      </c>
      <c r="L35" s="66">
        <v>590.0</v>
      </c>
      <c r="M35" s="66">
        <v>1180.0</v>
      </c>
      <c r="N35" s="67">
        <v>590.0</v>
      </c>
      <c r="O35" s="67">
        <v>1180.0</v>
      </c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ht="15.75" customHeight="1">
      <c r="A36" s="66">
        <v>700.0</v>
      </c>
      <c r="B36" s="66">
        <v>70.0</v>
      </c>
      <c r="C36" s="66">
        <v>140.0</v>
      </c>
      <c r="D36" s="66">
        <v>180.0</v>
      </c>
      <c r="E36" s="66">
        <v>360.0</v>
      </c>
      <c r="F36" s="66">
        <v>420.0</v>
      </c>
      <c r="G36" s="66">
        <v>840.0</v>
      </c>
      <c r="H36" s="66">
        <v>420.0</v>
      </c>
      <c r="I36" s="66">
        <v>840.0</v>
      </c>
      <c r="J36" s="66">
        <v>570.0</v>
      </c>
      <c r="K36" s="66">
        <v>1140.0</v>
      </c>
      <c r="L36" s="66">
        <v>570.0</v>
      </c>
      <c r="M36" s="66">
        <v>1140.0</v>
      </c>
      <c r="N36" s="67">
        <v>570.0</v>
      </c>
      <c r="O36" s="67">
        <v>1140.0</v>
      </c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ht="15.75" customHeight="1">
      <c r="A37" s="66">
        <v>800.0</v>
      </c>
      <c r="B37" s="66">
        <v>70.0</v>
      </c>
      <c r="C37" s="66">
        <v>140.0</v>
      </c>
      <c r="D37" s="66">
        <v>175.0</v>
      </c>
      <c r="E37" s="66">
        <v>350.0</v>
      </c>
      <c r="F37" s="66">
        <v>400.0</v>
      </c>
      <c r="G37" s="66">
        <v>800.0</v>
      </c>
      <c r="H37" s="66">
        <v>400.0</v>
      </c>
      <c r="I37" s="66">
        <v>800.0</v>
      </c>
      <c r="J37" s="66">
        <v>550.0</v>
      </c>
      <c r="K37" s="66">
        <v>1100.0</v>
      </c>
      <c r="L37" s="66">
        <v>550.0</v>
      </c>
      <c r="M37" s="66">
        <v>1100.0</v>
      </c>
      <c r="N37" s="67">
        <v>550.0</v>
      </c>
      <c r="O37" s="67">
        <v>1100.0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ht="15.75" customHeight="1">
      <c r="A38" s="66">
        <v>900.0</v>
      </c>
      <c r="B38" s="66">
        <v>70.0</v>
      </c>
      <c r="C38" s="66">
        <v>140.0</v>
      </c>
      <c r="D38" s="66">
        <v>170.0</v>
      </c>
      <c r="E38" s="66">
        <v>340.0</v>
      </c>
      <c r="F38" s="66">
        <v>380.0</v>
      </c>
      <c r="G38" s="66">
        <v>760.0</v>
      </c>
      <c r="H38" s="66">
        <v>380.0</v>
      </c>
      <c r="I38" s="66">
        <v>760.0</v>
      </c>
      <c r="J38" s="66">
        <v>530.0</v>
      </c>
      <c r="K38" s="66">
        <v>1060.0</v>
      </c>
      <c r="L38" s="66">
        <v>530.0</v>
      </c>
      <c r="M38" s="66">
        <v>1060.0</v>
      </c>
      <c r="N38" s="67">
        <v>530.0</v>
      </c>
      <c r="O38" s="67">
        <v>1060.0</v>
      </c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ht="15.75" customHeight="1">
      <c r="A39" s="66">
        <v>1000.0</v>
      </c>
      <c r="B39" s="66">
        <v>70.0</v>
      </c>
      <c r="C39" s="66">
        <v>140.0</v>
      </c>
      <c r="D39" s="66">
        <v>165.0</v>
      </c>
      <c r="E39" s="66">
        <v>330.0</v>
      </c>
      <c r="F39" s="66">
        <v>360.0</v>
      </c>
      <c r="G39" s="66">
        <v>720.0</v>
      </c>
      <c r="H39" s="66">
        <v>360.0</v>
      </c>
      <c r="I39" s="66">
        <v>720.0</v>
      </c>
      <c r="J39" s="66">
        <v>510.0</v>
      </c>
      <c r="K39" s="66">
        <v>1020.0</v>
      </c>
      <c r="L39" s="66">
        <v>510.0</v>
      </c>
      <c r="M39" s="66">
        <v>1020.0</v>
      </c>
      <c r="N39" s="67">
        <v>510.0</v>
      </c>
      <c r="O39" s="67">
        <v>1020.0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ht="15.75" customHeight="1">
      <c r="A40" s="66">
        <v>1200.0</v>
      </c>
      <c r="B40" s="66">
        <v>70.0</v>
      </c>
      <c r="C40" s="66">
        <v>140.0</v>
      </c>
      <c r="D40" s="66">
        <v>163.0</v>
      </c>
      <c r="E40" s="66">
        <v>326.0</v>
      </c>
      <c r="F40" s="66">
        <v>350.0</v>
      </c>
      <c r="G40" s="66">
        <v>700.0</v>
      </c>
      <c r="H40" s="66">
        <v>350.0</v>
      </c>
      <c r="I40" s="66">
        <v>700.0</v>
      </c>
      <c r="J40" s="66">
        <v>500.0</v>
      </c>
      <c r="K40" s="66">
        <v>1000.0</v>
      </c>
      <c r="L40" s="66">
        <v>500.0</v>
      </c>
      <c r="M40" s="66">
        <v>1000.0</v>
      </c>
      <c r="N40" s="67">
        <v>500.0</v>
      </c>
      <c r="O40" s="67">
        <v>1000.0</v>
      </c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ht="15.75" customHeight="1">
      <c r="A41" s="66">
        <v>1400.0</v>
      </c>
      <c r="B41" s="66">
        <v>65.0</v>
      </c>
      <c r="C41" s="66">
        <v>130.0</v>
      </c>
      <c r="D41" s="66">
        <v>161.0</v>
      </c>
      <c r="E41" s="66">
        <v>322.0</v>
      </c>
      <c r="F41" s="66">
        <v>350.0</v>
      </c>
      <c r="G41" s="66">
        <v>700.0</v>
      </c>
      <c r="H41" s="66">
        <v>350.0</v>
      </c>
      <c r="I41" s="66">
        <v>700.0</v>
      </c>
      <c r="J41" s="66">
        <v>500.0</v>
      </c>
      <c r="K41" s="66">
        <v>1000.0</v>
      </c>
      <c r="L41" s="66">
        <v>500.0</v>
      </c>
      <c r="M41" s="66">
        <v>1000.0</v>
      </c>
      <c r="N41" s="67">
        <v>500.0</v>
      </c>
      <c r="O41" s="67">
        <v>1000.0</v>
      </c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ht="15.75" customHeight="1">
      <c r="A42" s="66">
        <v>1600.0</v>
      </c>
      <c r="B42" s="66">
        <v>65.0</v>
      </c>
      <c r="C42" s="66">
        <v>130.0</v>
      </c>
      <c r="D42" s="66">
        <v>159.0</v>
      </c>
      <c r="E42" s="66">
        <v>318.0</v>
      </c>
      <c r="F42" s="66">
        <v>340.0</v>
      </c>
      <c r="G42" s="66">
        <v>680.0</v>
      </c>
      <c r="H42" s="66">
        <v>340.0</v>
      </c>
      <c r="I42" s="66">
        <v>680.0</v>
      </c>
      <c r="J42" s="66">
        <v>490.0</v>
      </c>
      <c r="K42" s="66">
        <v>980.0</v>
      </c>
      <c r="L42" s="66">
        <v>490.0</v>
      </c>
      <c r="M42" s="66">
        <v>980.0</v>
      </c>
      <c r="N42" s="67">
        <v>490.0</v>
      </c>
      <c r="O42" s="67">
        <v>980.0</v>
      </c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ht="15.75" customHeight="1">
      <c r="A43" s="66">
        <v>1800.0</v>
      </c>
      <c r="B43" s="66">
        <v>60.0</v>
      </c>
      <c r="C43" s="66">
        <v>120.0</v>
      </c>
      <c r="D43" s="66">
        <v>157.0</v>
      </c>
      <c r="E43" s="66">
        <v>314.0</v>
      </c>
      <c r="F43" s="66">
        <v>340.0</v>
      </c>
      <c r="G43" s="66">
        <v>680.0</v>
      </c>
      <c r="H43" s="66">
        <v>340.0</v>
      </c>
      <c r="I43" s="66">
        <v>680.0</v>
      </c>
      <c r="J43" s="66">
        <v>490.0</v>
      </c>
      <c r="K43" s="66">
        <v>980.0</v>
      </c>
      <c r="L43" s="66">
        <v>490.0</v>
      </c>
      <c r="M43" s="66">
        <v>980.0</v>
      </c>
      <c r="N43" s="67">
        <v>490.0</v>
      </c>
      <c r="O43" s="67">
        <v>980.0</v>
      </c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ht="15.75" customHeight="1">
      <c r="A44" s="66">
        <v>2000.0</v>
      </c>
      <c r="B44" s="66">
        <v>60.0</v>
      </c>
      <c r="C44" s="66">
        <v>120.0</v>
      </c>
      <c r="D44" s="66">
        <v>155.0</v>
      </c>
      <c r="E44" s="66">
        <v>310.0</v>
      </c>
      <c r="F44" s="66">
        <v>330.0</v>
      </c>
      <c r="G44" s="66">
        <v>660.0</v>
      </c>
      <c r="H44" s="66">
        <v>330.0</v>
      </c>
      <c r="I44" s="66">
        <v>660.0</v>
      </c>
      <c r="J44" s="66">
        <v>480.0</v>
      </c>
      <c r="K44" s="66">
        <v>960.0</v>
      </c>
      <c r="L44" s="66">
        <v>480.0</v>
      </c>
      <c r="M44" s="66">
        <v>960.0</v>
      </c>
      <c r="N44" s="67">
        <v>480.0</v>
      </c>
      <c r="O44" s="67">
        <v>960.0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ht="15.75" customHeight="1">
      <c r="A45" s="66">
        <v>2500.0</v>
      </c>
      <c r="B45" s="66">
        <v>55.0</v>
      </c>
      <c r="C45" s="66">
        <v>110.0</v>
      </c>
      <c r="D45" s="66">
        <v>154.0</v>
      </c>
      <c r="E45" s="66">
        <v>308.0</v>
      </c>
      <c r="F45" s="66">
        <v>330.0</v>
      </c>
      <c r="G45" s="66">
        <v>660.0</v>
      </c>
      <c r="H45" s="66">
        <v>330.0</v>
      </c>
      <c r="I45" s="66">
        <v>660.0</v>
      </c>
      <c r="J45" s="66">
        <v>480.0</v>
      </c>
      <c r="K45" s="66">
        <v>960.0</v>
      </c>
      <c r="L45" s="66">
        <v>480.0</v>
      </c>
      <c r="M45" s="66">
        <v>960.0</v>
      </c>
      <c r="N45" s="67">
        <v>480.0</v>
      </c>
      <c r="O45" s="67">
        <v>960.0</v>
      </c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ht="15.75" customHeight="1">
      <c r="A46" s="66">
        <v>3000.0</v>
      </c>
      <c r="B46" s="66">
        <v>55.0</v>
      </c>
      <c r="C46" s="66">
        <v>110.0</v>
      </c>
      <c r="D46" s="66">
        <v>153.0</v>
      </c>
      <c r="E46" s="66">
        <v>306.0</v>
      </c>
      <c r="F46" s="66">
        <v>320.0</v>
      </c>
      <c r="G46" s="66">
        <v>640.0</v>
      </c>
      <c r="H46" s="66">
        <v>320.0</v>
      </c>
      <c r="I46" s="66">
        <v>640.0</v>
      </c>
      <c r="J46" s="66">
        <v>470.0</v>
      </c>
      <c r="K46" s="66">
        <v>940.0</v>
      </c>
      <c r="L46" s="66">
        <v>470.0</v>
      </c>
      <c r="M46" s="66">
        <v>940.0</v>
      </c>
      <c r="N46" s="67">
        <v>470.0</v>
      </c>
      <c r="O46" s="67">
        <v>940.0</v>
      </c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ht="15.75" customHeight="1">
      <c r="A47" s="66">
        <v>3500.0</v>
      </c>
      <c r="B47" s="66">
        <v>50.0</v>
      </c>
      <c r="C47" s="66">
        <v>100.0</v>
      </c>
      <c r="D47" s="66">
        <v>152.0</v>
      </c>
      <c r="E47" s="66">
        <v>304.0</v>
      </c>
      <c r="F47" s="66">
        <v>320.0</v>
      </c>
      <c r="G47" s="66">
        <v>640.0</v>
      </c>
      <c r="H47" s="66">
        <v>320.0</v>
      </c>
      <c r="I47" s="66">
        <v>640.0</v>
      </c>
      <c r="J47" s="66">
        <v>470.0</v>
      </c>
      <c r="K47" s="66">
        <v>940.0</v>
      </c>
      <c r="L47" s="66">
        <v>470.0</v>
      </c>
      <c r="M47" s="66">
        <v>940.0</v>
      </c>
      <c r="N47" s="67">
        <v>470.0</v>
      </c>
      <c r="O47" s="67">
        <v>940.0</v>
      </c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ht="15.75" customHeight="1">
      <c r="A48" s="66">
        <v>4000.0</v>
      </c>
      <c r="B48" s="66">
        <v>50.0</v>
      </c>
      <c r="C48" s="66">
        <v>100.0</v>
      </c>
      <c r="D48" s="66">
        <v>151.0</v>
      </c>
      <c r="E48" s="66">
        <v>302.0</v>
      </c>
      <c r="F48" s="66">
        <v>310.0</v>
      </c>
      <c r="G48" s="66">
        <v>620.0</v>
      </c>
      <c r="H48" s="66">
        <v>310.0</v>
      </c>
      <c r="I48" s="66">
        <v>620.0</v>
      </c>
      <c r="J48" s="66">
        <v>460.0</v>
      </c>
      <c r="K48" s="66">
        <v>920.0</v>
      </c>
      <c r="L48" s="66">
        <v>460.0</v>
      </c>
      <c r="M48" s="66">
        <v>920.0</v>
      </c>
      <c r="N48" s="67">
        <v>460.0</v>
      </c>
      <c r="O48" s="67">
        <v>920.0</v>
      </c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ht="15.75" customHeight="1">
      <c r="A49" s="66">
        <v>4500.0</v>
      </c>
      <c r="B49" s="66">
        <v>45.0</v>
      </c>
      <c r="C49" s="66">
        <v>90.0</v>
      </c>
      <c r="D49" s="66">
        <v>150.0</v>
      </c>
      <c r="E49" s="66">
        <v>300.0</v>
      </c>
      <c r="F49" s="66">
        <v>310.0</v>
      </c>
      <c r="G49" s="66">
        <v>620.0</v>
      </c>
      <c r="H49" s="66">
        <v>310.0</v>
      </c>
      <c r="I49" s="66">
        <v>620.0</v>
      </c>
      <c r="J49" s="66">
        <v>460.0</v>
      </c>
      <c r="K49" s="66">
        <v>920.0</v>
      </c>
      <c r="L49" s="66">
        <v>460.0</v>
      </c>
      <c r="M49" s="66">
        <v>920.0</v>
      </c>
      <c r="N49" s="67">
        <v>460.0</v>
      </c>
      <c r="O49" s="67">
        <v>920.0</v>
      </c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ht="15.75" customHeight="1">
      <c r="A50" s="66">
        <v>5000.0</v>
      </c>
      <c r="B50" s="66">
        <v>45.0</v>
      </c>
      <c r="C50" s="66">
        <v>90.0</v>
      </c>
      <c r="D50" s="66">
        <v>149.0</v>
      </c>
      <c r="E50" s="66">
        <v>298.0</v>
      </c>
      <c r="F50" s="66">
        <v>300.0</v>
      </c>
      <c r="G50" s="66">
        <v>600.0</v>
      </c>
      <c r="H50" s="66">
        <v>300.0</v>
      </c>
      <c r="I50" s="66">
        <v>600.0</v>
      </c>
      <c r="J50" s="66">
        <v>450.0</v>
      </c>
      <c r="K50" s="66">
        <v>900.0</v>
      </c>
      <c r="L50" s="66">
        <v>450.0</v>
      </c>
      <c r="M50" s="66">
        <v>900.0</v>
      </c>
      <c r="N50" s="67">
        <v>450.0</v>
      </c>
      <c r="O50" s="67">
        <v>900.0</v>
      </c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ht="15.75" customHeight="1">
      <c r="A51" s="66">
        <v>6000.0</v>
      </c>
      <c r="B51" s="66">
        <v>40.0</v>
      </c>
      <c r="C51" s="66">
        <v>80.0</v>
      </c>
      <c r="D51" s="66">
        <v>148.0</v>
      </c>
      <c r="E51" s="66">
        <v>296.0</v>
      </c>
      <c r="F51" s="66">
        <v>300.0</v>
      </c>
      <c r="G51" s="66">
        <v>600.0</v>
      </c>
      <c r="H51" s="66">
        <v>300.0</v>
      </c>
      <c r="I51" s="66">
        <v>600.0</v>
      </c>
      <c r="J51" s="66">
        <v>450.0</v>
      </c>
      <c r="K51" s="66">
        <v>900.0</v>
      </c>
      <c r="L51" s="66">
        <v>450.0</v>
      </c>
      <c r="M51" s="66">
        <v>900.0</v>
      </c>
      <c r="N51" s="67">
        <v>450.0</v>
      </c>
      <c r="O51" s="67">
        <v>900.0</v>
      </c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ht="15.75" customHeight="1">
      <c r="A52" s="66">
        <v>7000.0</v>
      </c>
      <c r="B52" s="66">
        <v>40.0</v>
      </c>
      <c r="C52" s="66">
        <v>80.0</v>
      </c>
      <c r="D52" s="66">
        <v>147.0</v>
      </c>
      <c r="E52" s="66">
        <v>294.0</v>
      </c>
      <c r="F52" s="66">
        <v>300.0</v>
      </c>
      <c r="G52" s="66">
        <v>600.0</v>
      </c>
      <c r="H52" s="66">
        <v>300.0</v>
      </c>
      <c r="I52" s="66">
        <v>600.0</v>
      </c>
      <c r="J52" s="66">
        <v>450.0</v>
      </c>
      <c r="K52" s="66">
        <v>900.0</v>
      </c>
      <c r="L52" s="66">
        <v>450.0</v>
      </c>
      <c r="M52" s="66">
        <v>900.0</v>
      </c>
      <c r="N52" s="67">
        <v>450.0</v>
      </c>
      <c r="O52" s="67">
        <v>900.0</v>
      </c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ht="15.75" customHeight="1">
      <c r="A53" s="66">
        <v>8000.0</v>
      </c>
      <c r="B53" s="66">
        <v>40.0</v>
      </c>
      <c r="C53" s="66">
        <v>80.0</v>
      </c>
      <c r="D53" s="66">
        <v>146.0</v>
      </c>
      <c r="E53" s="66">
        <v>292.0</v>
      </c>
      <c r="F53" s="66">
        <v>300.0</v>
      </c>
      <c r="G53" s="66">
        <v>600.0</v>
      </c>
      <c r="H53" s="66">
        <v>300.0</v>
      </c>
      <c r="I53" s="66">
        <v>600.0</v>
      </c>
      <c r="J53" s="66">
        <v>450.0</v>
      </c>
      <c r="K53" s="66">
        <v>900.0</v>
      </c>
      <c r="L53" s="66">
        <v>450.0</v>
      </c>
      <c r="M53" s="66">
        <v>900.0</v>
      </c>
      <c r="N53" s="67">
        <v>450.0</v>
      </c>
      <c r="O53" s="67">
        <v>900.0</v>
      </c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ht="15.75" customHeight="1">
      <c r="A54" s="66">
        <v>9000.0</v>
      </c>
      <c r="B54" s="66">
        <v>40.0</v>
      </c>
      <c r="C54" s="66">
        <v>80.0</v>
      </c>
      <c r="D54" s="66">
        <v>145.0</v>
      </c>
      <c r="E54" s="66">
        <v>290.0</v>
      </c>
      <c r="F54" s="66">
        <v>300.0</v>
      </c>
      <c r="G54" s="66">
        <v>600.0</v>
      </c>
      <c r="H54" s="66">
        <v>300.0</v>
      </c>
      <c r="I54" s="66">
        <v>600.0</v>
      </c>
      <c r="J54" s="66">
        <v>450.0</v>
      </c>
      <c r="K54" s="66">
        <v>900.0</v>
      </c>
      <c r="L54" s="66">
        <v>450.0</v>
      </c>
      <c r="M54" s="66">
        <v>900.0</v>
      </c>
      <c r="N54" s="67">
        <v>450.0</v>
      </c>
      <c r="O54" s="67">
        <v>900.0</v>
      </c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ht="15.75" customHeight="1">
      <c r="A55" s="66">
        <v>10000.0</v>
      </c>
      <c r="B55" s="66">
        <v>40.0</v>
      </c>
      <c r="C55" s="66">
        <v>80.0</v>
      </c>
      <c r="D55" s="66">
        <v>145.0</v>
      </c>
      <c r="E55" s="66">
        <v>290.0</v>
      </c>
      <c r="F55" s="66">
        <v>300.0</v>
      </c>
      <c r="G55" s="66">
        <v>600.0</v>
      </c>
      <c r="H55" s="66">
        <v>300.0</v>
      </c>
      <c r="I55" s="66">
        <v>600.0</v>
      </c>
      <c r="J55" s="66">
        <v>450.0</v>
      </c>
      <c r="K55" s="66">
        <v>900.0</v>
      </c>
      <c r="L55" s="66">
        <v>450.0</v>
      </c>
      <c r="M55" s="66">
        <v>900.0</v>
      </c>
      <c r="N55" s="67">
        <v>450.0</v>
      </c>
      <c r="O55" s="67">
        <v>900.0</v>
      </c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ht="15.75" customHeight="1">
      <c r="A56" s="66">
        <v>1000000.0</v>
      </c>
      <c r="B56" s="66">
        <v>40.0</v>
      </c>
      <c r="C56" s="66">
        <v>80.0</v>
      </c>
      <c r="D56" s="66">
        <v>145.0</v>
      </c>
      <c r="E56" s="66">
        <v>290.0</v>
      </c>
      <c r="F56" s="66">
        <v>300.0</v>
      </c>
      <c r="G56" s="66">
        <v>600.0</v>
      </c>
      <c r="H56" s="66">
        <v>300.0</v>
      </c>
      <c r="I56" s="66">
        <v>600.0</v>
      </c>
      <c r="J56" s="66">
        <v>450.0</v>
      </c>
      <c r="K56" s="66">
        <v>900.0</v>
      </c>
      <c r="L56" s="66">
        <v>450.0</v>
      </c>
      <c r="M56" s="66">
        <v>900.0</v>
      </c>
      <c r="N56" s="67">
        <v>450.0</v>
      </c>
      <c r="O56" s="67">
        <v>900.0</v>
      </c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ht="15.75" customHeight="1">
      <c r="A57" s="62" t="s">
        <v>345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ht="26.25" customHeight="1">
      <c r="A61" s="61" t="s">
        <v>346</v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ht="15.75" customHeight="1">
      <c r="A62" s="63"/>
      <c r="B62" s="63" t="s">
        <v>335</v>
      </c>
      <c r="D62" s="63" t="s">
        <v>336</v>
      </c>
      <c r="F62" s="69"/>
      <c r="G62" s="69"/>
      <c r="H62" s="69"/>
      <c r="I62" s="69"/>
      <c r="J62" s="69"/>
      <c r="K62" s="69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ht="15.75" customHeight="1">
      <c r="A63" s="65" t="s">
        <v>347</v>
      </c>
      <c r="B63" s="63" t="s">
        <v>343</v>
      </c>
      <c r="C63" s="63" t="s">
        <v>344</v>
      </c>
      <c r="D63" s="63" t="s">
        <v>343</v>
      </c>
      <c r="E63" s="63" t="s">
        <v>344</v>
      </c>
      <c r="F63" s="70"/>
      <c r="G63" s="71"/>
      <c r="H63" s="71"/>
      <c r="I63" s="71"/>
      <c r="J63" s="71"/>
      <c r="K63" s="71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ht="15.75" customHeight="1">
      <c r="A64" s="66">
        <v>1.0</v>
      </c>
      <c r="B64" s="72">
        <v>3500.0</v>
      </c>
      <c r="C64" s="72">
        <v>5000.0</v>
      </c>
      <c r="D64" s="72">
        <v>4500.0</v>
      </c>
      <c r="E64" s="72">
        <v>7000.0</v>
      </c>
      <c r="F64" s="73"/>
      <c r="G64" s="74"/>
      <c r="H64" s="73"/>
      <c r="I64" s="74"/>
      <c r="J64" s="73"/>
      <c r="K64" s="74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ht="15.75" customHeight="1">
      <c r="A65" s="66">
        <v>2.0</v>
      </c>
      <c r="B65" s="72">
        <v>2500.0</v>
      </c>
      <c r="C65" s="72">
        <v>2900.0</v>
      </c>
      <c r="D65" s="72">
        <v>2800.0</v>
      </c>
      <c r="E65" s="72">
        <v>4600.0</v>
      </c>
      <c r="F65" s="73"/>
      <c r="G65" s="74"/>
      <c r="H65" s="73"/>
      <c r="I65" s="74"/>
      <c r="J65" s="73"/>
      <c r="K65" s="74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ht="15.75" customHeight="1">
      <c r="A66" s="66">
        <v>3.0</v>
      </c>
      <c r="B66" s="72">
        <v>2000.0</v>
      </c>
      <c r="C66" s="72">
        <v>2500.0</v>
      </c>
      <c r="D66" s="72">
        <v>2500.0</v>
      </c>
      <c r="E66" s="72">
        <v>4300.0</v>
      </c>
      <c r="F66" s="73"/>
      <c r="G66" s="74"/>
      <c r="H66" s="73"/>
      <c r="I66" s="74"/>
      <c r="J66" s="73"/>
      <c r="K66" s="74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ht="15.75" customHeight="1">
      <c r="A67" s="66">
        <v>4.0</v>
      </c>
      <c r="B67" s="72">
        <v>1800.0</v>
      </c>
      <c r="C67" s="72">
        <v>2200.0</v>
      </c>
      <c r="D67" s="72">
        <v>2000.0</v>
      </c>
      <c r="E67" s="72">
        <v>3500.0</v>
      </c>
      <c r="F67" s="73"/>
      <c r="G67" s="74"/>
      <c r="H67" s="73"/>
      <c r="I67" s="74"/>
      <c r="K67" s="74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ht="15.75" customHeight="1">
      <c r="A68" s="66">
        <v>5.0</v>
      </c>
      <c r="B68" s="72">
        <v>1200.0</v>
      </c>
      <c r="C68" s="72">
        <v>2000.0</v>
      </c>
      <c r="D68" s="72">
        <v>1700.0</v>
      </c>
      <c r="E68" s="72">
        <v>3000.0</v>
      </c>
      <c r="F68" s="73"/>
      <c r="G68" s="74"/>
      <c r="H68" s="73"/>
      <c r="I68" s="74"/>
      <c r="J68" s="73"/>
      <c r="K68" s="74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ht="15.75" customHeight="1">
      <c r="A69" s="66">
        <v>6.0</v>
      </c>
      <c r="B69" s="72">
        <v>900.0</v>
      </c>
      <c r="C69" s="72">
        <v>1900.0</v>
      </c>
      <c r="D69" s="72">
        <v>1500.0</v>
      </c>
      <c r="E69" s="72">
        <v>2600.0</v>
      </c>
      <c r="F69" s="73"/>
      <c r="G69" s="74"/>
      <c r="H69" s="73"/>
      <c r="I69" s="74"/>
      <c r="J69" s="73"/>
      <c r="K69" s="74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ht="15.75" customHeight="1">
      <c r="A70" s="66">
        <v>7.0</v>
      </c>
      <c r="B70" s="72">
        <v>800.0</v>
      </c>
      <c r="C70" s="72">
        <v>1700.0</v>
      </c>
      <c r="D70" s="72">
        <v>1300.0</v>
      </c>
      <c r="E70" s="72">
        <v>2300.0</v>
      </c>
      <c r="F70" s="73"/>
      <c r="G70" s="74"/>
      <c r="H70" s="73"/>
      <c r="I70" s="74"/>
      <c r="J70" s="73"/>
      <c r="K70" s="74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ht="15.75" customHeight="1">
      <c r="A71" s="66">
        <v>8.0</v>
      </c>
      <c r="B71" s="72">
        <v>700.0</v>
      </c>
      <c r="C71" s="72">
        <v>1500.0</v>
      </c>
      <c r="D71" s="72">
        <v>1200.0</v>
      </c>
      <c r="E71" s="72">
        <v>2100.0</v>
      </c>
      <c r="F71" s="73"/>
      <c r="G71" s="74"/>
      <c r="H71" s="73"/>
      <c r="I71" s="74"/>
      <c r="J71" s="73"/>
      <c r="K71" s="74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ht="15.75" customHeight="1">
      <c r="A72" s="66">
        <v>9.0</v>
      </c>
      <c r="B72" s="72">
        <v>600.0</v>
      </c>
      <c r="C72" s="72">
        <v>1300.0</v>
      </c>
      <c r="D72" s="72">
        <v>1100.0</v>
      </c>
      <c r="E72" s="72">
        <v>1900.0</v>
      </c>
      <c r="F72" s="73"/>
      <c r="G72" s="74"/>
      <c r="H72" s="73"/>
      <c r="I72" s="74"/>
      <c r="J72" s="73"/>
      <c r="K72" s="74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ht="15.75" customHeight="1">
      <c r="A73" s="66">
        <v>10.0</v>
      </c>
      <c r="B73" s="72">
        <v>500.0</v>
      </c>
      <c r="C73" s="72">
        <v>1200.0</v>
      </c>
      <c r="D73" s="72">
        <v>1000.0</v>
      </c>
      <c r="E73" s="72">
        <v>1600.0</v>
      </c>
      <c r="F73" s="73"/>
      <c r="G73" s="74"/>
      <c r="H73" s="73"/>
      <c r="I73" s="74"/>
      <c r="J73" s="73"/>
      <c r="K73" s="74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ht="15.75" customHeight="1">
      <c r="A74" s="66">
        <v>15.0</v>
      </c>
      <c r="B74" s="72">
        <v>610.0</v>
      </c>
      <c r="C74" s="72">
        <v>1200.0</v>
      </c>
      <c r="D74" s="72">
        <v>1200.0</v>
      </c>
      <c r="E74" s="72">
        <v>2430.0</v>
      </c>
      <c r="F74" s="73"/>
      <c r="G74" s="74"/>
      <c r="H74" s="73"/>
      <c r="I74" s="74"/>
      <c r="J74" s="73"/>
      <c r="K74" s="74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ht="15.75" customHeight="1">
      <c r="A75" s="66">
        <v>20.0</v>
      </c>
      <c r="B75" s="72">
        <v>540.0</v>
      </c>
      <c r="C75" s="72">
        <v>1080.0</v>
      </c>
      <c r="D75" s="72">
        <v>1150.0</v>
      </c>
      <c r="E75" s="72">
        <v>2300.0</v>
      </c>
      <c r="F75" s="73"/>
      <c r="G75" s="74"/>
      <c r="H75" s="73"/>
      <c r="I75" s="74"/>
      <c r="J75" s="73"/>
      <c r="K75" s="74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ht="15.75" customHeight="1">
      <c r="A76" s="66">
        <v>25.0</v>
      </c>
      <c r="B76" s="72">
        <v>470.0</v>
      </c>
      <c r="C76" s="72">
        <v>950.0</v>
      </c>
      <c r="D76" s="72">
        <v>1080.0</v>
      </c>
      <c r="E76" s="72">
        <v>2200.0</v>
      </c>
      <c r="F76" s="73"/>
      <c r="G76" s="74"/>
      <c r="H76" s="73"/>
      <c r="I76" s="74"/>
      <c r="J76" s="73"/>
      <c r="K76" s="74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ht="15.75" customHeight="1">
      <c r="A77" s="66">
        <v>30.0</v>
      </c>
      <c r="B77" s="72">
        <v>410.0</v>
      </c>
      <c r="C77" s="72">
        <v>810.0</v>
      </c>
      <c r="D77" s="72">
        <v>1010.0</v>
      </c>
      <c r="E77" s="72">
        <v>2030.0</v>
      </c>
      <c r="F77" s="73"/>
      <c r="G77" s="74"/>
      <c r="H77" s="73"/>
      <c r="I77" s="74"/>
      <c r="J77" s="73"/>
      <c r="K77" s="74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 ht="15.75" customHeight="1">
      <c r="A78" s="66">
        <v>35.0</v>
      </c>
      <c r="B78" s="72">
        <v>380.0</v>
      </c>
      <c r="C78" s="72">
        <v>760.0</v>
      </c>
      <c r="D78" s="72">
        <v>950.0</v>
      </c>
      <c r="E78" s="72">
        <v>1890.0</v>
      </c>
      <c r="F78" s="73"/>
      <c r="G78" s="74"/>
      <c r="H78" s="73"/>
      <c r="I78" s="74"/>
      <c r="J78" s="73"/>
      <c r="K78" s="74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 ht="15.75" customHeight="1">
      <c r="A79" s="66">
        <v>40.0</v>
      </c>
      <c r="B79" s="72">
        <v>340.0</v>
      </c>
      <c r="C79" s="72">
        <v>680.0</v>
      </c>
      <c r="D79" s="72">
        <v>880.0</v>
      </c>
      <c r="E79" s="72">
        <v>1760.0</v>
      </c>
      <c r="F79" s="73"/>
      <c r="G79" s="74"/>
      <c r="H79" s="73"/>
      <c r="I79" s="74"/>
      <c r="J79" s="73"/>
      <c r="K79" s="74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 ht="15.75" customHeight="1">
      <c r="A80" s="66">
        <v>45.0</v>
      </c>
      <c r="B80" s="72">
        <v>340.0</v>
      </c>
      <c r="C80" s="72">
        <v>680.0</v>
      </c>
      <c r="D80" s="72">
        <v>810.0</v>
      </c>
      <c r="E80" s="72">
        <v>1620.0</v>
      </c>
      <c r="F80" s="73"/>
      <c r="G80" s="74"/>
      <c r="H80" s="73"/>
      <c r="I80" s="74"/>
      <c r="J80" s="73"/>
      <c r="K80" s="74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 ht="15.75" customHeight="1">
      <c r="A81" s="66">
        <v>50.0</v>
      </c>
      <c r="B81" s="72">
        <v>340.0</v>
      </c>
      <c r="C81" s="72">
        <v>680.0</v>
      </c>
      <c r="D81" s="72">
        <v>750.0</v>
      </c>
      <c r="E81" s="72">
        <v>1490.0</v>
      </c>
      <c r="F81" s="73"/>
      <c r="G81" s="74"/>
      <c r="H81" s="73"/>
      <c r="I81" s="74"/>
      <c r="J81" s="73"/>
      <c r="K81" s="74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ht="15.75" customHeight="1">
      <c r="A82" s="66">
        <v>60.0</v>
      </c>
      <c r="B82" s="72">
        <v>270.0</v>
      </c>
      <c r="C82" s="72">
        <v>540.0</v>
      </c>
      <c r="D82" s="72">
        <v>680.0</v>
      </c>
      <c r="E82" s="72">
        <v>1350.0</v>
      </c>
      <c r="F82" s="73"/>
      <c r="G82" s="74"/>
      <c r="H82" s="73"/>
      <c r="I82" s="74"/>
      <c r="J82" s="73"/>
      <c r="K82" s="74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ht="15.75" customHeight="1">
      <c r="A83" s="66">
        <v>70.0</v>
      </c>
      <c r="B83" s="72">
        <v>270.0</v>
      </c>
      <c r="C83" s="72">
        <v>540.0</v>
      </c>
      <c r="D83" s="72">
        <v>610.0</v>
      </c>
      <c r="E83" s="72">
        <v>1200.0</v>
      </c>
      <c r="F83" s="73"/>
      <c r="G83" s="74"/>
      <c r="H83" s="73"/>
      <c r="I83" s="74"/>
      <c r="J83" s="73"/>
      <c r="K83" s="74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ht="15.75" customHeight="1">
      <c r="A84" s="66">
        <v>80.0</v>
      </c>
      <c r="B84" s="72">
        <v>270.0</v>
      </c>
      <c r="C84" s="72">
        <v>540.0</v>
      </c>
      <c r="D84" s="72">
        <v>540.0</v>
      </c>
      <c r="E84" s="72">
        <v>1080.0</v>
      </c>
      <c r="F84" s="73"/>
      <c r="G84" s="74"/>
      <c r="H84" s="73"/>
      <c r="I84" s="74"/>
      <c r="J84" s="73"/>
      <c r="K84" s="74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ht="15.75" customHeight="1">
      <c r="A85" s="66">
        <v>90.0</v>
      </c>
      <c r="B85" s="72">
        <v>270.0</v>
      </c>
      <c r="C85" s="72">
        <v>540.0</v>
      </c>
      <c r="D85" s="72">
        <v>470.0</v>
      </c>
      <c r="E85" s="72">
        <v>950.0</v>
      </c>
      <c r="F85" s="73"/>
      <c r="G85" s="74"/>
      <c r="H85" s="73"/>
      <c r="I85" s="74"/>
      <c r="J85" s="73"/>
      <c r="K85" s="74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ht="15.75" customHeight="1">
      <c r="A86" s="66">
        <v>100.0</v>
      </c>
      <c r="B86" s="72">
        <v>270.0</v>
      </c>
      <c r="C86" s="72">
        <v>540.0</v>
      </c>
      <c r="D86" s="72">
        <v>470.0</v>
      </c>
      <c r="E86" s="72">
        <v>950.0</v>
      </c>
      <c r="F86" s="73"/>
      <c r="G86" s="74"/>
      <c r="H86" s="73"/>
      <c r="I86" s="74"/>
      <c r="J86" s="73"/>
      <c r="K86" s="74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ht="15.75" customHeight="1">
      <c r="A87" s="66">
        <v>150.0</v>
      </c>
      <c r="B87" s="72">
        <v>190.0</v>
      </c>
      <c r="C87" s="72">
        <v>380.0</v>
      </c>
      <c r="D87" s="72">
        <v>450.0</v>
      </c>
      <c r="E87" s="72">
        <v>890.0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ht="15.75" customHeight="1">
      <c r="A88" s="66">
        <v>200.0</v>
      </c>
      <c r="B88" s="72">
        <v>180.0</v>
      </c>
      <c r="C88" s="72">
        <v>350.0</v>
      </c>
      <c r="D88" s="72">
        <v>420.0</v>
      </c>
      <c r="E88" s="72">
        <v>840.0</v>
      </c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ht="15.75" customHeight="1">
      <c r="A89" s="66">
        <v>250.0</v>
      </c>
      <c r="B89" s="72">
        <v>160.0</v>
      </c>
      <c r="C89" s="72">
        <v>330.0</v>
      </c>
      <c r="D89" s="72">
        <v>390.0</v>
      </c>
      <c r="E89" s="72">
        <v>780.0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ht="15.75" customHeight="1">
      <c r="A90" s="66">
        <v>300.0</v>
      </c>
      <c r="B90" s="72">
        <v>150.0</v>
      </c>
      <c r="C90" s="72">
        <v>300.0</v>
      </c>
      <c r="D90" s="72">
        <v>360.0</v>
      </c>
      <c r="E90" s="72">
        <v>730.0</v>
      </c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ht="15.75" customHeight="1">
      <c r="A91" s="66">
        <v>350.0</v>
      </c>
      <c r="B91" s="72">
        <v>140.0</v>
      </c>
      <c r="C91" s="72">
        <v>270.0</v>
      </c>
      <c r="D91" s="72">
        <v>340.0</v>
      </c>
      <c r="E91" s="72">
        <v>680.0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ht="15.75" customHeight="1">
      <c r="A92" s="66">
        <v>400.0</v>
      </c>
      <c r="B92" s="72">
        <v>120.0</v>
      </c>
      <c r="C92" s="72">
        <v>250.0</v>
      </c>
      <c r="D92" s="72">
        <v>310.0</v>
      </c>
      <c r="E92" s="72">
        <v>620.0</v>
      </c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ht="15.75" customHeight="1">
      <c r="A93" s="66">
        <v>450.0</v>
      </c>
      <c r="B93" s="72">
        <v>110.0</v>
      </c>
      <c r="C93" s="72">
        <v>220.0</v>
      </c>
      <c r="D93" s="72">
        <v>280.0</v>
      </c>
      <c r="E93" s="72">
        <v>560.0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ht="15.75" customHeight="1">
      <c r="A94" s="66">
        <v>500.0</v>
      </c>
      <c r="B94" s="72">
        <v>95.0</v>
      </c>
      <c r="C94" s="72">
        <v>190.0</v>
      </c>
      <c r="D94" s="72">
        <v>260.0</v>
      </c>
      <c r="E94" s="72">
        <v>520.0</v>
      </c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ht="15.75" customHeight="1">
      <c r="A95" s="66">
        <v>600.0</v>
      </c>
      <c r="B95" s="72">
        <v>95.0</v>
      </c>
      <c r="C95" s="72">
        <v>190.0</v>
      </c>
      <c r="D95" s="72">
        <v>250.0</v>
      </c>
      <c r="E95" s="72">
        <v>500.0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ht="15.75" customHeight="1">
      <c r="A96" s="66">
        <v>700.0</v>
      </c>
      <c r="B96" s="72">
        <v>95.0</v>
      </c>
      <c r="C96" s="72">
        <v>190.0</v>
      </c>
      <c r="D96" s="72">
        <v>240.0</v>
      </c>
      <c r="E96" s="72">
        <v>490.0</v>
      </c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ht="15.75" customHeight="1">
      <c r="A97" s="66">
        <v>800.0</v>
      </c>
      <c r="B97" s="72">
        <v>95.0</v>
      </c>
      <c r="C97" s="72">
        <v>190.0</v>
      </c>
      <c r="D97" s="72">
        <v>240.0</v>
      </c>
      <c r="E97" s="72">
        <v>480.0</v>
      </c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ht="15.75" customHeight="1">
      <c r="A98" s="66">
        <v>900.0</v>
      </c>
      <c r="B98" s="72">
        <v>95.0</v>
      </c>
      <c r="C98" s="72">
        <v>190.0</v>
      </c>
      <c r="D98" s="72">
        <v>230.0</v>
      </c>
      <c r="E98" s="72">
        <v>460.0</v>
      </c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ht="15.75" customHeight="1">
      <c r="A99" s="66">
        <v>1000.0</v>
      </c>
      <c r="B99" s="72">
        <v>95.0</v>
      </c>
      <c r="C99" s="72">
        <v>190.0</v>
      </c>
      <c r="D99" s="72">
        <v>220.0</v>
      </c>
      <c r="E99" s="72">
        <v>450.0</v>
      </c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ht="15.75" customHeight="1">
      <c r="A100" s="66">
        <v>1200.0</v>
      </c>
      <c r="B100" s="72">
        <v>95.0</v>
      </c>
      <c r="C100" s="72">
        <v>190.0</v>
      </c>
      <c r="D100" s="72">
        <v>220.0</v>
      </c>
      <c r="E100" s="72">
        <v>440.0</v>
      </c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ht="15.75" customHeight="1">
      <c r="A101" s="66">
        <v>1400.0</v>
      </c>
      <c r="B101" s="72">
        <v>88.0</v>
      </c>
      <c r="C101" s="72">
        <v>180.0</v>
      </c>
      <c r="D101" s="72">
        <v>220.0</v>
      </c>
      <c r="E101" s="72">
        <v>440.0</v>
      </c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ht="15.75" customHeight="1">
      <c r="A102" s="66">
        <v>1600.0</v>
      </c>
      <c r="B102" s="72">
        <v>88.0</v>
      </c>
      <c r="C102" s="72">
        <v>180.0</v>
      </c>
      <c r="D102" s="72">
        <v>220.0</v>
      </c>
      <c r="E102" s="72">
        <v>430.0</v>
      </c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ht="15.75" customHeight="1">
      <c r="A103" s="66">
        <v>1800.0</v>
      </c>
      <c r="B103" s="72">
        <v>81.0</v>
      </c>
      <c r="C103" s="72">
        <v>160.0</v>
      </c>
      <c r="D103" s="72">
        <v>210.0</v>
      </c>
      <c r="E103" s="72">
        <v>420.0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ht="15.75" customHeight="1">
      <c r="A104" s="66">
        <v>2000.0</v>
      </c>
      <c r="B104" s="72">
        <v>81.0</v>
      </c>
      <c r="C104" s="72">
        <v>160.0</v>
      </c>
      <c r="D104" s="72">
        <v>210.0</v>
      </c>
      <c r="E104" s="72">
        <v>420.0</v>
      </c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ht="15.75" customHeight="1">
      <c r="A105" s="66">
        <v>2500.0</v>
      </c>
      <c r="B105" s="72">
        <v>75.0</v>
      </c>
      <c r="C105" s="72">
        <v>150.0</v>
      </c>
      <c r="D105" s="72">
        <v>210.0</v>
      </c>
      <c r="E105" s="72">
        <v>420.0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ht="15.75" customHeight="1">
      <c r="A106" s="66">
        <v>3000.0</v>
      </c>
      <c r="B106" s="72">
        <v>75.0</v>
      </c>
      <c r="C106" s="72">
        <v>150.0</v>
      </c>
      <c r="D106" s="72">
        <v>210.0</v>
      </c>
      <c r="E106" s="72">
        <v>410.0</v>
      </c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ht="15.75" customHeight="1">
      <c r="A107" s="66">
        <v>3500.0</v>
      </c>
      <c r="B107" s="72">
        <v>68.0</v>
      </c>
      <c r="C107" s="72">
        <v>135.0</v>
      </c>
      <c r="D107" s="72">
        <v>210.0</v>
      </c>
      <c r="E107" s="72">
        <v>410.0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ht="15.75" customHeight="1">
      <c r="A108" s="66">
        <v>4000.0</v>
      </c>
      <c r="B108" s="72">
        <v>68.0</v>
      </c>
      <c r="C108" s="72">
        <v>135.0</v>
      </c>
      <c r="D108" s="72">
        <v>200.0</v>
      </c>
      <c r="E108" s="72">
        <v>410.0</v>
      </c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ht="15.75" customHeight="1">
      <c r="A109" s="66">
        <v>4500.0</v>
      </c>
      <c r="B109" s="72">
        <v>61.0</v>
      </c>
      <c r="C109" s="72">
        <v>122.0</v>
      </c>
      <c r="D109" s="72">
        <v>200.0</v>
      </c>
      <c r="E109" s="72">
        <v>400.0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ht="15.75" customHeight="1">
      <c r="A110" s="66">
        <v>5000.0</v>
      </c>
      <c r="B110" s="72">
        <v>61.0</v>
      </c>
      <c r="C110" s="72">
        <v>122.0</v>
      </c>
      <c r="D110" s="72">
        <v>200.0</v>
      </c>
      <c r="E110" s="72">
        <v>400.0</v>
      </c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ht="15.75" customHeight="1">
      <c r="A111" s="66">
        <v>6000.0</v>
      </c>
      <c r="B111" s="72">
        <v>54.0</v>
      </c>
      <c r="C111" s="72">
        <v>108.0</v>
      </c>
      <c r="D111" s="72">
        <v>200.0</v>
      </c>
      <c r="E111" s="72">
        <v>400.0</v>
      </c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ht="15.75" customHeight="1">
      <c r="A112" s="66">
        <v>7000.0</v>
      </c>
      <c r="B112" s="72">
        <v>54.0</v>
      </c>
      <c r="C112" s="72">
        <v>108.0</v>
      </c>
      <c r="D112" s="72">
        <v>200.0</v>
      </c>
      <c r="E112" s="72">
        <v>400.0</v>
      </c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ht="15.75" customHeight="1">
      <c r="A113" s="66">
        <v>8000.0</v>
      </c>
      <c r="B113" s="72">
        <v>54.0</v>
      </c>
      <c r="C113" s="72">
        <v>108.0</v>
      </c>
      <c r="D113" s="72">
        <v>200.0</v>
      </c>
      <c r="E113" s="72">
        <v>400.0</v>
      </c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ht="15.75" customHeight="1">
      <c r="A114" s="66">
        <v>9000.0</v>
      </c>
      <c r="B114" s="72">
        <v>54.0</v>
      </c>
      <c r="C114" s="72">
        <v>108.0</v>
      </c>
      <c r="D114" s="72">
        <v>190.0</v>
      </c>
      <c r="E114" s="72">
        <v>390.0</v>
      </c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ht="15.75" customHeight="1">
      <c r="A115" s="66">
        <v>10000.0</v>
      </c>
      <c r="B115" s="72">
        <v>54.0</v>
      </c>
      <c r="C115" s="72">
        <v>108.0</v>
      </c>
      <c r="D115" s="72">
        <v>190.0</v>
      </c>
      <c r="E115" s="72">
        <v>390.0</v>
      </c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 ht="15.75" customHeight="1">
      <c r="A116" s="66">
        <v>1000000.0</v>
      </c>
      <c r="B116" s="72">
        <v>54.0</v>
      </c>
      <c r="C116" s="72">
        <v>108.0</v>
      </c>
      <c r="D116" s="72">
        <v>190.0</v>
      </c>
      <c r="E116" s="72">
        <v>390.0</v>
      </c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11">
    <mergeCell ref="D2:E2"/>
    <mergeCell ref="A61:E61"/>
    <mergeCell ref="B62:C62"/>
    <mergeCell ref="D62:E62"/>
    <mergeCell ref="A1:O1"/>
    <mergeCell ref="B2:C2"/>
    <mergeCell ref="F2:G2"/>
    <mergeCell ref="H2:I2"/>
    <mergeCell ref="J2:K2"/>
    <mergeCell ref="L2:M2"/>
    <mergeCell ref="N2:O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1.75" customHeight="1">
      <c r="A1" s="61" t="s">
        <v>348</v>
      </c>
    </row>
    <row r="2">
      <c r="A2" s="63"/>
      <c r="B2" s="63" t="s">
        <v>349</v>
      </c>
      <c r="D2" s="63" t="s">
        <v>350</v>
      </c>
    </row>
    <row r="3">
      <c r="A3" s="65" t="s">
        <v>342</v>
      </c>
      <c r="B3" s="63" t="s">
        <v>343</v>
      </c>
      <c r="C3" s="63" t="s">
        <v>344</v>
      </c>
      <c r="D3" s="63" t="s">
        <v>343</v>
      </c>
      <c r="E3" s="63" t="s">
        <v>344</v>
      </c>
    </row>
    <row r="4">
      <c r="A4" s="75">
        <v>1.0</v>
      </c>
      <c r="B4" s="75">
        <v>2000.0</v>
      </c>
      <c r="C4" s="75">
        <v>4000.0</v>
      </c>
      <c r="D4" s="75">
        <v>2000.0</v>
      </c>
      <c r="E4" s="75">
        <v>4000.0</v>
      </c>
    </row>
    <row r="5">
      <c r="A5" s="75">
        <v>2.0</v>
      </c>
      <c r="B5" s="75">
        <v>1500.0</v>
      </c>
      <c r="C5" s="75">
        <v>3000.0</v>
      </c>
      <c r="D5" s="75">
        <v>1500.0</v>
      </c>
      <c r="E5" s="75">
        <v>3000.0</v>
      </c>
    </row>
    <row r="6">
      <c r="A6" s="75">
        <v>5.0</v>
      </c>
      <c r="B6" s="75">
        <v>1200.0</v>
      </c>
      <c r="C6" s="75">
        <v>2400.0</v>
      </c>
      <c r="D6" s="75">
        <v>1200.0</v>
      </c>
      <c r="E6" s="75">
        <v>2400.0</v>
      </c>
    </row>
    <row r="7">
      <c r="A7" s="75">
        <v>10.0</v>
      </c>
      <c r="B7" s="75">
        <v>1000.0</v>
      </c>
      <c r="C7" s="75">
        <v>2000.0</v>
      </c>
      <c r="D7" s="75">
        <v>1000.0</v>
      </c>
      <c r="E7" s="75">
        <v>2000.0</v>
      </c>
    </row>
    <row r="8">
      <c r="A8" s="75">
        <v>20.0</v>
      </c>
      <c r="B8" s="75">
        <v>800.0</v>
      </c>
      <c r="C8" s="75">
        <v>1600.0</v>
      </c>
      <c r="D8" s="75">
        <v>800.0</v>
      </c>
      <c r="E8" s="75">
        <v>1600.0</v>
      </c>
    </row>
    <row r="9">
      <c r="A9" s="75">
        <v>30.0</v>
      </c>
      <c r="B9" s="75">
        <v>800.0</v>
      </c>
      <c r="C9" s="75">
        <v>1600.0</v>
      </c>
      <c r="D9" s="75">
        <v>800.0</v>
      </c>
      <c r="E9" s="75">
        <v>1600.0</v>
      </c>
    </row>
    <row r="10">
      <c r="A10" s="75">
        <v>40.0</v>
      </c>
      <c r="B10" s="75">
        <v>700.0</v>
      </c>
      <c r="C10" s="75">
        <v>1400.0</v>
      </c>
      <c r="D10" s="75">
        <v>700.0</v>
      </c>
      <c r="E10" s="75">
        <v>1400.0</v>
      </c>
    </row>
    <row r="11">
      <c r="A11" s="75">
        <v>50.0</v>
      </c>
      <c r="B11" s="75">
        <v>700.0</v>
      </c>
      <c r="C11" s="75">
        <v>1400.0</v>
      </c>
      <c r="D11" s="75">
        <v>700.0</v>
      </c>
      <c r="E11" s="75">
        <v>1400.0</v>
      </c>
    </row>
    <row r="12">
      <c r="A12" s="75">
        <v>70.0</v>
      </c>
      <c r="B12" s="75">
        <v>600.0</v>
      </c>
      <c r="C12" s="75">
        <v>1200.0</v>
      </c>
      <c r="D12" s="75">
        <v>600.0</v>
      </c>
      <c r="E12" s="75">
        <v>1200.0</v>
      </c>
    </row>
    <row r="13">
      <c r="A13" s="75">
        <v>100.0</v>
      </c>
      <c r="B13" s="75">
        <v>500.0</v>
      </c>
      <c r="C13" s="75">
        <v>1000.0</v>
      </c>
      <c r="D13" s="75">
        <v>500.0</v>
      </c>
      <c r="E13" s="75">
        <v>1000.0</v>
      </c>
    </row>
    <row r="14">
      <c r="A14" s="75">
        <v>150.0</v>
      </c>
      <c r="B14" s="75">
        <v>400.0</v>
      </c>
      <c r="C14" s="75">
        <v>800.0</v>
      </c>
      <c r="D14" s="75">
        <v>400.0</v>
      </c>
      <c r="E14" s="75">
        <v>800.0</v>
      </c>
    </row>
    <row r="15">
      <c r="A15" s="75">
        <v>200.0</v>
      </c>
      <c r="B15" s="75">
        <v>300.0</v>
      </c>
      <c r="C15" s="75">
        <v>600.0</v>
      </c>
      <c r="D15" s="75">
        <v>300.0</v>
      </c>
      <c r="E15" s="75">
        <v>600.0</v>
      </c>
    </row>
    <row r="16">
      <c r="A16" s="75">
        <v>250.0</v>
      </c>
      <c r="B16" s="75">
        <v>300.0</v>
      </c>
      <c r="C16" s="75">
        <v>600.0</v>
      </c>
      <c r="D16" s="75">
        <v>300.0</v>
      </c>
      <c r="E16" s="75">
        <v>600.0</v>
      </c>
    </row>
    <row r="17">
      <c r="A17" s="75">
        <v>300.0</v>
      </c>
      <c r="B17" s="75">
        <v>250.0</v>
      </c>
      <c r="C17" s="75">
        <v>500.0</v>
      </c>
      <c r="D17" s="75">
        <v>250.0</v>
      </c>
      <c r="E17" s="75">
        <v>500.0</v>
      </c>
    </row>
    <row r="18">
      <c r="A18" s="75">
        <v>400.0</v>
      </c>
      <c r="B18" s="75">
        <v>200.0</v>
      </c>
      <c r="C18" s="75">
        <v>400.0</v>
      </c>
      <c r="D18" s="75">
        <v>200.0</v>
      </c>
      <c r="E18" s="75">
        <v>400.0</v>
      </c>
    </row>
    <row r="19">
      <c r="A19" s="75">
        <v>500.0</v>
      </c>
      <c r="B19" s="75">
        <v>180.0</v>
      </c>
      <c r="C19" s="75">
        <v>360.0</v>
      </c>
      <c r="D19" s="75">
        <v>180.0</v>
      </c>
      <c r="E19" s="75">
        <v>360.0</v>
      </c>
    </row>
    <row r="20">
      <c r="A20" s="75">
        <v>700.0</v>
      </c>
      <c r="B20" s="75">
        <v>160.0</v>
      </c>
      <c r="C20" s="75">
        <v>320.0</v>
      </c>
      <c r="D20" s="75">
        <v>160.0</v>
      </c>
      <c r="E20" s="75">
        <v>320.0</v>
      </c>
    </row>
    <row r="21">
      <c r="A21" s="75">
        <v>900.0</v>
      </c>
      <c r="B21" s="75">
        <v>140.0</v>
      </c>
      <c r="C21" s="75">
        <v>280.0</v>
      </c>
      <c r="D21" s="75">
        <v>140.0</v>
      </c>
      <c r="E21" s="75">
        <v>280.0</v>
      </c>
    </row>
    <row r="22">
      <c r="A22" s="75">
        <v>1000.0</v>
      </c>
      <c r="B22" s="75">
        <v>130.0</v>
      </c>
      <c r="C22" s="75">
        <v>260.0</v>
      </c>
      <c r="D22" s="75">
        <v>130.0</v>
      </c>
      <c r="E22" s="75">
        <v>260.0</v>
      </c>
    </row>
    <row r="23">
      <c r="A23" s="75">
        <v>1500.0</v>
      </c>
      <c r="B23" s="75">
        <v>120.0</v>
      </c>
      <c r="C23" s="75">
        <v>240.0</v>
      </c>
      <c r="D23" s="75">
        <v>120.0</v>
      </c>
      <c r="E23" s="75">
        <v>240.0</v>
      </c>
    </row>
    <row r="24">
      <c r="A24" s="75">
        <v>2500.0</v>
      </c>
      <c r="B24" s="75">
        <v>110.0</v>
      </c>
      <c r="C24" s="75">
        <v>220.0</v>
      </c>
      <c r="D24" s="75">
        <v>110.0</v>
      </c>
      <c r="E24" s="75">
        <v>220.0</v>
      </c>
    </row>
    <row r="25">
      <c r="A25" s="75">
        <v>5000.0</v>
      </c>
      <c r="B25" s="75">
        <v>100.0</v>
      </c>
      <c r="C25" s="75">
        <v>200.0</v>
      </c>
      <c r="D25" s="75">
        <v>100.0</v>
      </c>
      <c r="E25" s="75">
        <v>200.0</v>
      </c>
    </row>
    <row r="26">
      <c r="A26" s="75">
        <v>1000000.0</v>
      </c>
      <c r="B26" s="75">
        <v>100.0</v>
      </c>
      <c r="C26" s="75">
        <v>200.0</v>
      </c>
      <c r="D26" s="75">
        <v>100.0</v>
      </c>
      <c r="E26" s="75">
        <v>200.0</v>
      </c>
    </row>
    <row r="27">
      <c r="A27" s="62"/>
      <c r="B27" s="76"/>
    </row>
    <row r="28">
      <c r="B28" s="76"/>
    </row>
    <row r="31" ht="21.75" customHeight="1">
      <c r="A31" s="61" t="s">
        <v>351</v>
      </c>
    </row>
    <row r="32">
      <c r="A32" s="63"/>
      <c r="B32" s="63" t="s">
        <v>349</v>
      </c>
      <c r="D32" s="63" t="s">
        <v>350</v>
      </c>
    </row>
    <row r="33">
      <c r="A33" s="65" t="s">
        <v>347</v>
      </c>
      <c r="B33" s="63" t="s">
        <v>343</v>
      </c>
      <c r="C33" s="63" t="s">
        <v>344</v>
      </c>
      <c r="D33" s="63" t="s">
        <v>343</v>
      </c>
      <c r="E33" s="63" t="s">
        <v>344</v>
      </c>
    </row>
    <row r="34">
      <c r="A34" s="75">
        <v>1.0</v>
      </c>
      <c r="B34" s="75">
        <v>3000.0</v>
      </c>
      <c r="C34" s="75">
        <v>6000.0</v>
      </c>
      <c r="D34" s="75">
        <v>3000.0</v>
      </c>
      <c r="E34" s="75">
        <v>6000.0</v>
      </c>
    </row>
    <row r="35">
      <c r="A35" s="75">
        <v>2.0</v>
      </c>
      <c r="B35" s="75">
        <v>2500.0</v>
      </c>
      <c r="C35" s="75">
        <v>5000.0</v>
      </c>
      <c r="D35" s="75">
        <v>2500.0</v>
      </c>
      <c r="E35" s="75">
        <v>5000.0</v>
      </c>
    </row>
    <row r="36">
      <c r="A36" s="75">
        <v>5.0</v>
      </c>
      <c r="B36" s="75">
        <v>2000.0</v>
      </c>
      <c r="C36" s="75">
        <v>4000.0</v>
      </c>
      <c r="D36" s="75">
        <v>2000.0</v>
      </c>
      <c r="E36" s="75">
        <v>4000.0</v>
      </c>
    </row>
    <row r="37">
      <c r="A37" s="75">
        <v>10.0</v>
      </c>
      <c r="B37" s="75">
        <v>1500.0</v>
      </c>
      <c r="C37" s="75">
        <v>3000.0</v>
      </c>
      <c r="D37" s="75">
        <v>1500.0</v>
      </c>
      <c r="E37" s="75">
        <v>3000.0</v>
      </c>
    </row>
    <row r="38">
      <c r="A38" s="75">
        <v>20.0</v>
      </c>
      <c r="B38" s="75">
        <v>1200.0</v>
      </c>
      <c r="C38" s="75">
        <v>2400.0</v>
      </c>
      <c r="D38" s="75">
        <v>1200.0</v>
      </c>
      <c r="E38" s="75">
        <v>2400.0</v>
      </c>
    </row>
    <row r="39">
      <c r="A39" s="75">
        <v>30.0</v>
      </c>
      <c r="B39" s="75">
        <v>1200.0</v>
      </c>
      <c r="C39" s="75">
        <v>2400.0</v>
      </c>
      <c r="D39" s="75">
        <v>1200.0</v>
      </c>
      <c r="E39" s="75">
        <v>2400.0</v>
      </c>
    </row>
    <row r="40">
      <c r="A40" s="75">
        <v>40.0</v>
      </c>
      <c r="B40" s="75">
        <v>1050.0</v>
      </c>
      <c r="C40" s="75">
        <v>2100.0</v>
      </c>
      <c r="D40" s="75">
        <v>1050.0</v>
      </c>
      <c r="E40" s="75">
        <v>2100.0</v>
      </c>
    </row>
    <row r="41">
      <c r="A41" s="75">
        <v>50.0</v>
      </c>
      <c r="B41" s="75">
        <v>1050.0</v>
      </c>
      <c r="C41" s="75">
        <v>2100.0</v>
      </c>
      <c r="D41" s="75">
        <v>1050.0</v>
      </c>
      <c r="E41" s="75">
        <v>2100.0</v>
      </c>
    </row>
    <row r="42">
      <c r="A42" s="75">
        <v>70.0</v>
      </c>
      <c r="B42" s="75">
        <v>900.0</v>
      </c>
      <c r="C42" s="75">
        <v>1800.0</v>
      </c>
      <c r="D42" s="75">
        <v>900.0</v>
      </c>
      <c r="E42" s="75">
        <v>1800.0</v>
      </c>
    </row>
    <row r="43">
      <c r="A43" s="75">
        <v>100.0</v>
      </c>
      <c r="B43" s="75">
        <v>750.0</v>
      </c>
      <c r="C43" s="75">
        <v>1500.0</v>
      </c>
      <c r="D43" s="75">
        <v>750.0</v>
      </c>
      <c r="E43" s="75">
        <v>1500.0</v>
      </c>
    </row>
    <row r="44">
      <c r="A44" s="75">
        <v>150.0</v>
      </c>
      <c r="B44" s="75">
        <v>600.0</v>
      </c>
      <c r="C44" s="75">
        <v>1200.0</v>
      </c>
      <c r="D44" s="75">
        <v>600.0</v>
      </c>
      <c r="E44" s="75">
        <v>1200.0</v>
      </c>
    </row>
    <row r="45">
      <c r="A45" s="75">
        <v>200.0</v>
      </c>
      <c r="B45" s="75">
        <v>450.0</v>
      </c>
      <c r="C45" s="75">
        <v>900.0</v>
      </c>
      <c r="D45" s="75">
        <v>450.0</v>
      </c>
      <c r="E45" s="75">
        <v>900.0</v>
      </c>
    </row>
    <row r="46">
      <c r="A46" s="75">
        <v>250.0</v>
      </c>
      <c r="B46" s="75">
        <v>450.0</v>
      </c>
      <c r="C46" s="75">
        <v>900.0</v>
      </c>
      <c r="D46" s="75">
        <v>450.0</v>
      </c>
      <c r="E46" s="75">
        <v>900.0</v>
      </c>
    </row>
    <row r="47">
      <c r="A47" s="75">
        <v>300.0</v>
      </c>
      <c r="B47" s="75">
        <v>380.0</v>
      </c>
      <c r="C47" s="75">
        <v>760.0</v>
      </c>
      <c r="D47" s="75">
        <v>380.0</v>
      </c>
      <c r="E47" s="75">
        <v>760.0</v>
      </c>
    </row>
    <row r="48">
      <c r="A48" s="75">
        <v>400.0</v>
      </c>
      <c r="B48" s="75">
        <v>300.0</v>
      </c>
      <c r="C48" s="75">
        <v>600.0</v>
      </c>
      <c r="D48" s="75">
        <v>300.0</v>
      </c>
      <c r="E48" s="75">
        <v>600.0</v>
      </c>
    </row>
    <row r="49">
      <c r="A49" s="75">
        <v>500.0</v>
      </c>
      <c r="B49" s="75">
        <v>270.0</v>
      </c>
      <c r="C49" s="75">
        <v>540.0</v>
      </c>
      <c r="D49" s="75">
        <v>270.0</v>
      </c>
      <c r="E49" s="75">
        <v>540.0</v>
      </c>
    </row>
    <row r="50">
      <c r="A50" s="75">
        <v>700.0</v>
      </c>
      <c r="B50" s="75">
        <v>240.0</v>
      </c>
      <c r="C50" s="75">
        <v>480.0</v>
      </c>
      <c r="D50" s="75">
        <v>240.0</v>
      </c>
      <c r="E50" s="75">
        <v>480.0</v>
      </c>
    </row>
    <row r="51">
      <c r="A51" s="75">
        <v>900.0</v>
      </c>
      <c r="B51" s="75">
        <v>210.0</v>
      </c>
      <c r="C51" s="75">
        <v>420.0</v>
      </c>
      <c r="D51" s="75">
        <v>210.0</v>
      </c>
      <c r="E51" s="75">
        <v>420.0</v>
      </c>
    </row>
    <row r="52">
      <c r="A52" s="75">
        <v>1000.0</v>
      </c>
      <c r="B52" s="75">
        <v>200.0</v>
      </c>
      <c r="C52" s="75">
        <v>400.0</v>
      </c>
      <c r="D52" s="75">
        <v>200.0</v>
      </c>
      <c r="E52" s="75">
        <v>400.0</v>
      </c>
    </row>
    <row r="53">
      <c r="A53" s="75">
        <v>1500.0</v>
      </c>
      <c r="B53" s="75">
        <v>180.0</v>
      </c>
      <c r="C53" s="75">
        <v>360.0</v>
      </c>
      <c r="D53" s="75">
        <v>180.0</v>
      </c>
      <c r="E53" s="75">
        <v>360.0</v>
      </c>
    </row>
    <row r="54">
      <c r="A54" s="75">
        <v>2500.0</v>
      </c>
      <c r="B54" s="75">
        <v>170.0</v>
      </c>
      <c r="C54" s="75">
        <v>340.0</v>
      </c>
      <c r="D54" s="75">
        <v>170.0</v>
      </c>
      <c r="E54" s="75">
        <v>340.0</v>
      </c>
    </row>
    <row r="55">
      <c r="A55" s="75">
        <v>5000.0</v>
      </c>
      <c r="B55" s="75">
        <v>150.0</v>
      </c>
      <c r="C55" s="75">
        <v>300.0</v>
      </c>
      <c r="D55" s="75">
        <v>150.0</v>
      </c>
      <c r="E55" s="75">
        <v>300.0</v>
      </c>
    </row>
    <row r="56">
      <c r="A56" s="75">
        <v>1000000.0</v>
      </c>
      <c r="B56" s="75">
        <v>150.0</v>
      </c>
      <c r="C56" s="75">
        <v>300.0</v>
      </c>
      <c r="D56" s="75">
        <v>150.0</v>
      </c>
      <c r="E56" s="75">
        <v>300.0</v>
      </c>
    </row>
  </sheetData>
  <mergeCells count="6">
    <mergeCell ref="A1:E1"/>
    <mergeCell ref="B2:C2"/>
    <mergeCell ref="D2:E2"/>
    <mergeCell ref="A31:E31"/>
    <mergeCell ref="B32:C32"/>
    <mergeCell ref="D32:E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0" width="10.25"/>
  </cols>
  <sheetData>
    <row r="1" ht="24.75" customHeight="1">
      <c r="A1" s="61" t="s">
        <v>352</v>
      </c>
      <c r="E1" s="77"/>
      <c r="F1" s="77"/>
      <c r="G1" s="78"/>
      <c r="H1" s="79"/>
      <c r="I1" s="79"/>
      <c r="J1" s="79"/>
      <c r="K1" s="79"/>
      <c r="L1" s="79"/>
      <c r="M1" s="79"/>
      <c r="N1" s="79"/>
      <c r="O1" s="79"/>
      <c r="P1" s="79"/>
    </row>
    <row r="2" ht="19.5" customHeight="1">
      <c r="A2" s="1"/>
      <c r="B2" s="64" t="s">
        <v>353</v>
      </c>
      <c r="C2" s="63" t="s">
        <v>354</v>
      </c>
      <c r="D2" s="63" t="s">
        <v>355</v>
      </c>
      <c r="E2" s="77"/>
      <c r="F2" s="77"/>
      <c r="G2" s="78"/>
      <c r="H2" s="79"/>
      <c r="I2" s="79"/>
      <c r="J2" s="79"/>
      <c r="K2" s="79"/>
      <c r="L2" s="79"/>
      <c r="M2" s="79"/>
      <c r="N2" s="79"/>
      <c r="O2" s="79"/>
      <c r="P2" s="79"/>
    </row>
    <row r="3" ht="30.0" customHeight="1">
      <c r="A3" s="80" t="s">
        <v>356</v>
      </c>
      <c r="B3" s="81" t="s">
        <v>357</v>
      </c>
      <c r="C3" s="81" t="s">
        <v>358</v>
      </c>
      <c r="D3" s="82" t="s">
        <v>359</v>
      </c>
      <c r="E3" s="77"/>
      <c r="F3" s="77"/>
      <c r="G3" s="78"/>
      <c r="H3" s="79"/>
      <c r="I3" s="79"/>
      <c r="J3" s="79"/>
      <c r="K3" s="79"/>
      <c r="L3" s="79"/>
      <c r="M3" s="79"/>
      <c r="N3" s="79"/>
      <c r="O3" s="79"/>
      <c r="P3" s="79"/>
    </row>
    <row r="4" ht="15.75" customHeight="1">
      <c r="A4" s="83">
        <v>1.0</v>
      </c>
      <c r="B4" s="84">
        <v>5000.0</v>
      </c>
      <c r="C4" s="84">
        <v>6000.0</v>
      </c>
      <c r="D4" s="83">
        <v>6000.0</v>
      </c>
      <c r="E4" s="77"/>
      <c r="F4" s="77"/>
      <c r="G4" s="78"/>
      <c r="H4" s="79"/>
      <c r="I4" s="79"/>
      <c r="J4" s="79"/>
      <c r="K4" s="79"/>
      <c r="L4" s="79"/>
      <c r="M4" s="79"/>
      <c r="N4" s="79"/>
      <c r="O4" s="79"/>
      <c r="P4" s="79"/>
    </row>
    <row r="5" ht="15.75" customHeight="1">
      <c r="A5" s="83">
        <v>2.0</v>
      </c>
      <c r="B5" s="84">
        <v>3000.0</v>
      </c>
      <c r="C5" s="84">
        <v>4000.0</v>
      </c>
      <c r="D5" s="83">
        <v>5600.0</v>
      </c>
      <c r="E5" s="77"/>
      <c r="F5" s="77"/>
      <c r="G5" s="78"/>
      <c r="H5" s="79"/>
      <c r="I5" s="79"/>
      <c r="J5" s="79"/>
      <c r="K5" s="79"/>
      <c r="L5" s="79"/>
      <c r="M5" s="79"/>
      <c r="N5" s="79"/>
      <c r="O5" s="79"/>
      <c r="P5" s="79"/>
    </row>
    <row r="6" ht="15.75" customHeight="1">
      <c r="A6" s="83">
        <v>3.0</v>
      </c>
      <c r="B6" s="84">
        <v>2000.0</v>
      </c>
      <c r="C6" s="84">
        <v>3000.0</v>
      </c>
      <c r="D6" s="83">
        <v>5100.0</v>
      </c>
      <c r="F6" s="77"/>
      <c r="G6" s="85"/>
      <c r="H6" s="85"/>
      <c r="I6" s="85"/>
      <c r="J6" s="85"/>
      <c r="K6" s="85"/>
      <c r="L6" s="79"/>
      <c r="M6" s="79"/>
      <c r="N6" s="79"/>
      <c r="O6" s="79"/>
      <c r="P6" s="79"/>
    </row>
    <row r="7" ht="15.75" customHeight="1">
      <c r="A7" s="83">
        <v>4.0</v>
      </c>
      <c r="B7" s="84">
        <v>1500.0</v>
      </c>
      <c r="C7" s="84">
        <v>2000.0</v>
      </c>
      <c r="D7" s="83">
        <v>4600.0</v>
      </c>
      <c r="F7" s="77"/>
      <c r="G7" s="86"/>
      <c r="H7" s="87"/>
      <c r="I7" s="87"/>
      <c r="J7" s="87"/>
      <c r="K7" s="74"/>
      <c r="L7" s="79"/>
      <c r="M7" s="79"/>
      <c r="N7" s="79"/>
      <c r="O7" s="79"/>
      <c r="P7" s="79"/>
    </row>
    <row r="8" ht="15.75" customHeight="1">
      <c r="A8" s="83">
        <v>5.0</v>
      </c>
      <c r="B8" s="84">
        <v>1000.0</v>
      </c>
      <c r="C8" s="84">
        <v>1500.0</v>
      </c>
      <c r="D8" s="83">
        <v>4000.0</v>
      </c>
      <c r="F8" s="77"/>
      <c r="G8" s="86"/>
      <c r="H8" s="87"/>
      <c r="I8" s="87"/>
      <c r="J8" s="87"/>
      <c r="K8" s="74"/>
      <c r="L8" s="79"/>
      <c r="M8" s="79"/>
      <c r="N8" s="79"/>
      <c r="O8" s="79"/>
      <c r="P8" s="79"/>
    </row>
    <row r="9" ht="15.75" customHeight="1">
      <c r="A9" s="83">
        <v>6.0</v>
      </c>
      <c r="B9" s="84">
        <v>900.0</v>
      </c>
      <c r="C9" s="84">
        <v>1400.0</v>
      </c>
      <c r="D9" s="83">
        <v>3500.0</v>
      </c>
      <c r="F9" s="77"/>
      <c r="G9" s="86"/>
      <c r="H9" s="87"/>
      <c r="I9" s="87"/>
      <c r="J9" s="87"/>
      <c r="K9" s="74"/>
      <c r="L9" s="79"/>
      <c r="M9" s="79"/>
      <c r="N9" s="79"/>
      <c r="O9" s="79"/>
      <c r="P9" s="79"/>
    </row>
    <row r="10" ht="15.75" customHeight="1">
      <c r="A10" s="83">
        <v>7.0</v>
      </c>
      <c r="B10" s="84">
        <v>900.0</v>
      </c>
      <c r="C10" s="84">
        <v>1300.0</v>
      </c>
      <c r="D10" s="83">
        <v>3000.0</v>
      </c>
      <c r="F10" s="77"/>
      <c r="G10" s="86"/>
      <c r="H10" s="87"/>
      <c r="I10" s="87"/>
      <c r="J10" s="87"/>
      <c r="K10" s="74"/>
      <c r="L10" s="79"/>
      <c r="M10" s="79"/>
      <c r="N10" s="79"/>
      <c r="O10" s="79"/>
      <c r="P10" s="79"/>
    </row>
    <row r="11" ht="15.75" customHeight="1">
      <c r="A11" s="83">
        <v>8.0</v>
      </c>
      <c r="B11" s="84">
        <v>800.0</v>
      </c>
      <c r="C11" s="84">
        <v>1100.0</v>
      </c>
      <c r="D11" s="83">
        <v>2500.0</v>
      </c>
      <c r="F11" s="77"/>
      <c r="G11" s="86"/>
      <c r="H11" s="87"/>
      <c r="I11" s="87"/>
      <c r="J11" s="87"/>
      <c r="K11" s="74"/>
      <c r="L11" s="79"/>
      <c r="M11" s="79"/>
      <c r="N11" s="79"/>
      <c r="O11" s="79"/>
      <c r="P11" s="79"/>
    </row>
    <row r="12" ht="15.75" customHeight="1">
      <c r="A12" s="83">
        <v>9.0</v>
      </c>
      <c r="B12" s="84">
        <v>800.0</v>
      </c>
      <c r="C12" s="84">
        <v>1000.0</v>
      </c>
      <c r="D12" s="83">
        <v>2000.0</v>
      </c>
      <c r="F12" s="77"/>
      <c r="G12" s="86"/>
      <c r="H12" s="87"/>
      <c r="I12" s="87"/>
      <c r="J12" s="87"/>
      <c r="K12" s="74"/>
      <c r="L12" s="79"/>
      <c r="M12" s="79"/>
      <c r="N12" s="79"/>
      <c r="O12" s="79"/>
      <c r="P12" s="79"/>
    </row>
    <row r="13" ht="15.75" customHeight="1">
      <c r="A13" s="83">
        <v>10.0</v>
      </c>
      <c r="B13" s="84">
        <v>700.0</v>
      </c>
      <c r="C13" s="84">
        <v>800.0</v>
      </c>
      <c r="D13" s="83">
        <v>1500.0</v>
      </c>
      <c r="F13" s="77"/>
      <c r="G13" s="86"/>
      <c r="H13" s="87"/>
      <c r="I13" s="87"/>
      <c r="J13" s="87"/>
      <c r="K13" s="74"/>
      <c r="L13" s="79"/>
      <c r="M13" s="79"/>
      <c r="N13" s="79"/>
      <c r="O13" s="79"/>
      <c r="P13" s="79"/>
    </row>
    <row r="14" ht="15.75" customHeight="1">
      <c r="A14" s="83">
        <v>15.0</v>
      </c>
      <c r="B14" s="84">
        <v>650.0</v>
      </c>
      <c r="C14" s="84">
        <v>750.0</v>
      </c>
      <c r="D14" s="83">
        <v>1375.0</v>
      </c>
      <c r="F14" s="77"/>
      <c r="G14" s="86"/>
      <c r="H14" s="87"/>
      <c r="I14" s="87"/>
      <c r="J14" s="87"/>
      <c r="K14" s="74"/>
      <c r="L14" s="79"/>
      <c r="M14" s="79"/>
      <c r="N14" s="79"/>
      <c r="O14" s="79"/>
      <c r="P14" s="79"/>
    </row>
    <row r="15" ht="15.75" customHeight="1">
      <c r="A15" s="83">
        <v>20.0</v>
      </c>
      <c r="B15" s="84">
        <v>600.0</v>
      </c>
      <c r="C15" s="84">
        <v>700.0</v>
      </c>
      <c r="D15" s="83">
        <v>1250.0</v>
      </c>
      <c r="F15" s="77"/>
      <c r="G15" s="86"/>
      <c r="H15" s="87"/>
      <c r="I15" s="87"/>
      <c r="J15" s="87"/>
      <c r="K15" s="74"/>
      <c r="L15" s="79"/>
      <c r="M15" s="79"/>
      <c r="N15" s="79"/>
      <c r="O15" s="79"/>
      <c r="P15" s="79"/>
    </row>
    <row r="16" ht="15.75" customHeight="1">
      <c r="A16" s="83">
        <v>25.0</v>
      </c>
      <c r="B16" s="84">
        <v>550.0</v>
      </c>
      <c r="C16" s="84">
        <v>650.0</v>
      </c>
      <c r="D16" s="83">
        <v>1125.0</v>
      </c>
      <c r="F16" s="77"/>
      <c r="G16" s="86"/>
      <c r="H16" s="87"/>
      <c r="I16" s="87"/>
      <c r="J16" s="87"/>
      <c r="K16" s="74"/>
      <c r="L16" s="79"/>
      <c r="M16" s="79"/>
      <c r="N16" s="79"/>
      <c r="O16" s="79"/>
      <c r="P16" s="79"/>
    </row>
    <row r="17" ht="15.75" customHeight="1">
      <c r="A17" s="83">
        <v>30.0</v>
      </c>
      <c r="B17" s="84">
        <v>500.0</v>
      </c>
      <c r="C17" s="84">
        <v>600.0</v>
      </c>
      <c r="D17" s="83">
        <v>1000.0</v>
      </c>
      <c r="F17" s="77"/>
      <c r="G17" s="86"/>
      <c r="H17" s="87"/>
      <c r="I17" s="87"/>
      <c r="J17" s="87"/>
      <c r="K17" s="74"/>
      <c r="L17" s="79"/>
      <c r="M17" s="79"/>
      <c r="N17" s="79"/>
      <c r="O17" s="79"/>
      <c r="P17" s="79"/>
    </row>
    <row r="18" ht="15.75" customHeight="1">
      <c r="A18" s="83">
        <v>35.0</v>
      </c>
      <c r="B18" s="84">
        <v>480.0</v>
      </c>
      <c r="C18" s="84">
        <v>570.0</v>
      </c>
      <c r="D18" s="83">
        <v>875.0</v>
      </c>
      <c r="F18" s="77"/>
      <c r="G18" s="86"/>
      <c r="H18" s="87"/>
      <c r="I18" s="87"/>
      <c r="J18" s="87"/>
      <c r="K18" s="74"/>
      <c r="L18" s="79"/>
      <c r="M18" s="79"/>
      <c r="N18" s="79"/>
      <c r="O18" s="79"/>
      <c r="P18" s="79"/>
    </row>
    <row r="19" ht="15.75" customHeight="1">
      <c r="A19" s="83">
        <v>40.0</v>
      </c>
      <c r="B19" s="84">
        <v>460.0</v>
      </c>
      <c r="C19" s="84">
        <v>540.0</v>
      </c>
      <c r="D19" s="83">
        <v>750.0</v>
      </c>
      <c r="F19" s="77"/>
      <c r="G19" s="86"/>
      <c r="H19" s="87"/>
      <c r="I19" s="87"/>
      <c r="J19" s="87"/>
      <c r="K19" s="74"/>
      <c r="L19" s="79"/>
      <c r="M19" s="79"/>
      <c r="N19" s="79"/>
      <c r="O19" s="79"/>
      <c r="P19" s="79"/>
    </row>
    <row r="20" ht="15.75" customHeight="1">
      <c r="A20" s="83">
        <v>45.0</v>
      </c>
      <c r="B20" s="84">
        <v>440.0</v>
      </c>
      <c r="C20" s="84">
        <v>510.0</v>
      </c>
      <c r="D20" s="83">
        <v>625.0</v>
      </c>
      <c r="F20" s="77"/>
      <c r="G20" s="86"/>
      <c r="H20" s="87"/>
      <c r="I20" s="87"/>
      <c r="J20" s="87"/>
      <c r="K20" s="74"/>
      <c r="L20" s="79"/>
      <c r="M20" s="79"/>
      <c r="N20" s="79"/>
      <c r="O20" s="79"/>
      <c r="P20" s="79"/>
    </row>
    <row r="21" ht="15.75" customHeight="1">
      <c r="A21" s="83">
        <v>50.0</v>
      </c>
      <c r="B21" s="84">
        <v>420.0</v>
      </c>
      <c r="C21" s="84">
        <v>480.0</v>
      </c>
      <c r="D21" s="83">
        <v>500.0</v>
      </c>
      <c r="F21" s="77"/>
      <c r="G21" s="86"/>
      <c r="H21" s="87"/>
      <c r="I21" s="87"/>
      <c r="J21" s="87"/>
      <c r="K21" s="74"/>
      <c r="L21" s="79"/>
      <c r="M21" s="79"/>
      <c r="N21" s="79"/>
      <c r="O21" s="79"/>
      <c r="P21" s="79"/>
    </row>
    <row r="22" ht="15.75" customHeight="1">
      <c r="A22" s="83">
        <v>60.0</v>
      </c>
      <c r="B22" s="84">
        <v>390.0</v>
      </c>
      <c r="C22" s="84">
        <v>450.0</v>
      </c>
      <c r="D22" s="83">
        <v>460.0</v>
      </c>
      <c r="F22" s="77"/>
      <c r="G22" s="86"/>
      <c r="H22" s="87"/>
      <c r="I22" s="87"/>
      <c r="J22" s="87"/>
      <c r="K22" s="74"/>
      <c r="L22" s="79"/>
      <c r="M22" s="79"/>
      <c r="N22" s="79"/>
      <c r="O22" s="79"/>
      <c r="P22" s="79"/>
    </row>
    <row r="23" ht="15.75" customHeight="1">
      <c r="A23" s="83">
        <v>70.0</v>
      </c>
      <c r="B23" s="84">
        <v>360.0</v>
      </c>
      <c r="C23" s="84">
        <v>420.0</v>
      </c>
      <c r="D23" s="83">
        <v>420.0</v>
      </c>
      <c r="F23" s="77"/>
      <c r="G23" s="86"/>
      <c r="H23" s="87"/>
      <c r="I23" s="87"/>
      <c r="J23" s="87"/>
      <c r="K23" s="74"/>
      <c r="L23" s="79"/>
      <c r="M23" s="79"/>
      <c r="N23" s="79"/>
      <c r="O23" s="79"/>
      <c r="P23" s="79"/>
    </row>
    <row r="24" ht="15.75" customHeight="1">
      <c r="A24" s="83">
        <v>80.0</v>
      </c>
      <c r="B24" s="84">
        <v>330.0</v>
      </c>
      <c r="C24" s="84">
        <v>390.0</v>
      </c>
      <c r="D24" s="83">
        <v>380.0</v>
      </c>
      <c r="F24" s="77"/>
      <c r="G24" s="86"/>
      <c r="H24" s="87"/>
      <c r="I24" s="87"/>
      <c r="J24" s="87"/>
      <c r="K24" s="74"/>
      <c r="L24" s="79"/>
      <c r="M24" s="79"/>
      <c r="N24" s="79"/>
      <c r="O24" s="79"/>
      <c r="P24" s="79"/>
    </row>
    <row r="25" ht="15.75" customHeight="1">
      <c r="A25" s="83">
        <v>90.0</v>
      </c>
      <c r="B25" s="84">
        <v>300.0</v>
      </c>
      <c r="C25" s="84">
        <v>360.0</v>
      </c>
      <c r="D25" s="83">
        <v>340.0</v>
      </c>
      <c r="F25" s="77"/>
      <c r="G25" s="86"/>
      <c r="H25" s="87"/>
      <c r="I25" s="87"/>
      <c r="J25" s="87"/>
      <c r="K25" s="74"/>
      <c r="L25" s="79"/>
      <c r="M25" s="79"/>
      <c r="N25" s="79"/>
      <c r="O25" s="79"/>
      <c r="P25" s="79"/>
    </row>
    <row r="26" ht="15.75" customHeight="1">
      <c r="A26" s="83">
        <v>100.0</v>
      </c>
      <c r="B26" s="84">
        <v>270.0</v>
      </c>
      <c r="C26" s="84">
        <v>330.0</v>
      </c>
      <c r="D26" s="83">
        <v>300.0</v>
      </c>
      <c r="F26" s="77"/>
      <c r="G26" s="86"/>
      <c r="H26" s="87"/>
      <c r="I26" s="87"/>
      <c r="J26" s="87"/>
      <c r="K26" s="74"/>
      <c r="L26" s="79"/>
      <c r="M26" s="79"/>
      <c r="N26" s="79"/>
      <c r="O26" s="79"/>
      <c r="P26" s="79"/>
    </row>
    <row r="27" ht="15.75" customHeight="1">
      <c r="A27" s="83">
        <v>150.0</v>
      </c>
      <c r="B27" s="83">
        <v>240.0</v>
      </c>
      <c r="C27" s="83">
        <v>300.0</v>
      </c>
      <c r="D27" s="83">
        <v>281.0</v>
      </c>
      <c r="F27" s="77"/>
      <c r="G27" s="86"/>
      <c r="H27" s="87"/>
      <c r="I27" s="87"/>
      <c r="J27" s="87"/>
      <c r="K27" s="74"/>
      <c r="L27" s="79"/>
      <c r="M27" s="79"/>
      <c r="N27" s="79"/>
      <c r="O27" s="79"/>
      <c r="P27" s="79"/>
    </row>
    <row r="28" ht="15.75" customHeight="1">
      <c r="A28" s="83">
        <v>200.0</v>
      </c>
      <c r="B28" s="83">
        <v>210.0</v>
      </c>
      <c r="C28" s="83">
        <v>270.0</v>
      </c>
      <c r="D28" s="83">
        <v>262.0</v>
      </c>
      <c r="F28" s="77"/>
      <c r="G28" s="86"/>
      <c r="H28" s="87"/>
      <c r="I28" s="87"/>
      <c r="J28" s="87"/>
      <c r="K28" s="74"/>
      <c r="L28" s="79"/>
      <c r="M28" s="79"/>
      <c r="N28" s="79"/>
      <c r="O28" s="79"/>
      <c r="P28" s="79"/>
    </row>
    <row r="29" ht="15.75" customHeight="1">
      <c r="A29" s="83">
        <v>250.0</v>
      </c>
      <c r="B29" s="83">
        <v>180.0</v>
      </c>
      <c r="C29" s="83">
        <v>240.0</v>
      </c>
      <c r="D29" s="83">
        <v>243.0</v>
      </c>
      <c r="F29" s="77"/>
      <c r="G29" s="86"/>
      <c r="H29" s="87"/>
      <c r="I29" s="87"/>
      <c r="J29" s="87"/>
      <c r="K29" s="74"/>
      <c r="L29" s="79"/>
      <c r="M29" s="79"/>
      <c r="N29" s="79"/>
      <c r="O29" s="79"/>
      <c r="P29" s="79"/>
    </row>
    <row r="30" ht="15.75" customHeight="1">
      <c r="A30" s="83">
        <v>300.0</v>
      </c>
      <c r="B30" s="83">
        <v>150.0</v>
      </c>
      <c r="C30" s="83">
        <v>210.0</v>
      </c>
      <c r="D30" s="83">
        <v>224.0</v>
      </c>
      <c r="F30" s="77"/>
      <c r="G30" s="86"/>
      <c r="H30" s="87"/>
      <c r="I30" s="87"/>
      <c r="J30" s="87"/>
      <c r="K30" s="74"/>
      <c r="L30" s="79"/>
      <c r="M30" s="79"/>
      <c r="N30" s="79"/>
      <c r="O30" s="79"/>
      <c r="P30" s="79"/>
    </row>
    <row r="31" ht="15.75" customHeight="1">
      <c r="A31" s="83">
        <v>350.0</v>
      </c>
      <c r="B31" s="83">
        <v>120.0</v>
      </c>
      <c r="C31" s="83">
        <v>190.0</v>
      </c>
      <c r="D31" s="83">
        <v>205.0</v>
      </c>
      <c r="E31" s="77"/>
      <c r="F31" s="65"/>
      <c r="J31" s="79"/>
      <c r="K31" s="79"/>
      <c r="L31" s="79"/>
      <c r="M31" s="79"/>
      <c r="N31" s="79"/>
      <c r="O31" s="79"/>
      <c r="P31" s="79"/>
    </row>
    <row r="32" ht="15.75" customHeight="1">
      <c r="A32" s="83">
        <v>400.0</v>
      </c>
      <c r="B32" s="83">
        <v>100.0</v>
      </c>
      <c r="C32" s="83">
        <v>170.0</v>
      </c>
      <c r="D32" s="83">
        <v>186.0</v>
      </c>
      <c r="E32" s="77"/>
      <c r="F32" s="1"/>
      <c r="G32" s="64"/>
      <c r="H32" s="63"/>
      <c r="I32" s="63"/>
      <c r="J32" s="79"/>
      <c r="K32" s="79"/>
      <c r="L32" s="79"/>
      <c r="M32" s="79"/>
      <c r="N32" s="79"/>
      <c r="O32" s="79"/>
      <c r="P32" s="79"/>
    </row>
    <row r="33" ht="15.75" customHeight="1">
      <c r="A33" s="83">
        <v>450.0</v>
      </c>
      <c r="B33" s="83">
        <v>90.0</v>
      </c>
      <c r="C33" s="83">
        <v>160.0</v>
      </c>
      <c r="D33" s="83">
        <v>167.0</v>
      </c>
      <c r="E33" s="77"/>
      <c r="F33" s="83"/>
      <c r="G33" s="83"/>
      <c r="H33" s="83"/>
      <c r="I33" s="83"/>
      <c r="J33" s="79"/>
      <c r="K33" s="79"/>
      <c r="L33" s="79"/>
      <c r="M33" s="79"/>
      <c r="N33" s="79"/>
      <c r="O33" s="79"/>
      <c r="P33" s="79"/>
    </row>
    <row r="34" ht="15.75" customHeight="1">
      <c r="A34" s="83">
        <v>500.0</v>
      </c>
      <c r="B34" s="83">
        <v>80.0</v>
      </c>
      <c r="C34" s="83">
        <v>150.0</v>
      </c>
      <c r="D34" s="83">
        <v>150.0</v>
      </c>
      <c r="E34" s="77"/>
      <c r="F34" s="83"/>
      <c r="G34" s="83"/>
      <c r="H34" s="83"/>
      <c r="I34" s="83"/>
      <c r="J34" s="79"/>
      <c r="K34" s="79"/>
      <c r="L34" s="79"/>
      <c r="M34" s="79"/>
      <c r="N34" s="79"/>
      <c r="O34" s="79"/>
      <c r="P34" s="79"/>
    </row>
    <row r="35" ht="15.75" customHeight="1">
      <c r="A35" s="83">
        <v>600.0</v>
      </c>
      <c r="B35" s="83">
        <v>75.0</v>
      </c>
      <c r="C35" s="83">
        <v>140.0</v>
      </c>
      <c r="D35" s="83">
        <v>139.0</v>
      </c>
      <c r="E35" s="77"/>
      <c r="F35" s="83"/>
      <c r="G35" s="83"/>
      <c r="H35" s="83"/>
      <c r="I35" s="83"/>
      <c r="J35" s="79"/>
      <c r="K35" s="79"/>
      <c r="L35" s="79"/>
      <c r="M35" s="79"/>
      <c r="N35" s="79"/>
      <c r="O35" s="79"/>
      <c r="P35" s="79"/>
    </row>
    <row r="36" ht="15.75" customHeight="1">
      <c r="A36" s="83">
        <v>700.0</v>
      </c>
      <c r="B36" s="83">
        <v>70.0</v>
      </c>
      <c r="C36" s="83">
        <v>130.0</v>
      </c>
      <c r="D36" s="83">
        <v>128.0</v>
      </c>
      <c r="E36" s="77"/>
      <c r="F36" s="83"/>
      <c r="G36" s="83"/>
      <c r="H36" s="83"/>
      <c r="I36" s="83"/>
      <c r="J36" s="79"/>
      <c r="K36" s="79"/>
      <c r="L36" s="79"/>
      <c r="M36" s="79"/>
      <c r="N36" s="79"/>
      <c r="O36" s="79"/>
      <c r="P36" s="79"/>
    </row>
    <row r="37" ht="15.75" customHeight="1">
      <c r="A37" s="83">
        <v>800.0</v>
      </c>
      <c r="B37" s="83">
        <v>65.0</v>
      </c>
      <c r="C37" s="83">
        <v>120.0</v>
      </c>
      <c r="D37" s="83">
        <v>117.0</v>
      </c>
      <c r="E37" s="77"/>
      <c r="F37" s="83"/>
      <c r="G37" s="83"/>
      <c r="H37" s="83"/>
      <c r="I37" s="83"/>
      <c r="J37" s="79"/>
      <c r="K37" s="79"/>
      <c r="L37" s="79"/>
      <c r="M37" s="79"/>
      <c r="N37" s="79"/>
      <c r="O37" s="79"/>
      <c r="P37" s="79"/>
    </row>
    <row r="38" ht="15.75" customHeight="1">
      <c r="A38" s="83">
        <v>900.0</v>
      </c>
      <c r="B38" s="83">
        <v>60.0</v>
      </c>
      <c r="C38" s="83">
        <v>110.0</v>
      </c>
      <c r="D38" s="83">
        <v>106.0</v>
      </c>
      <c r="E38" s="77"/>
      <c r="F38" s="83"/>
      <c r="G38" s="83"/>
      <c r="H38" s="83"/>
      <c r="I38" s="83"/>
      <c r="J38" s="79"/>
      <c r="K38" s="79"/>
      <c r="L38" s="79"/>
      <c r="M38" s="79"/>
      <c r="N38" s="79"/>
      <c r="O38" s="79"/>
      <c r="P38" s="79"/>
    </row>
    <row r="39" ht="15.75" customHeight="1">
      <c r="A39" s="83">
        <v>1000.0</v>
      </c>
      <c r="B39" s="83">
        <v>60.0</v>
      </c>
      <c r="C39" s="83">
        <v>100.0</v>
      </c>
      <c r="D39" s="83">
        <v>95.0</v>
      </c>
      <c r="E39" s="77"/>
      <c r="F39" s="83"/>
      <c r="G39" s="83"/>
      <c r="H39" s="83"/>
      <c r="I39" s="83"/>
      <c r="J39" s="79"/>
      <c r="K39" s="79"/>
      <c r="L39" s="79"/>
      <c r="M39" s="79"/>
      <c r="N39" s="79"/>
      <c r="O39" s="79"/>
      <c r="P39" s="79"/>
    </row>
    <row r="40" ht="15.75" customHeight="1">
      <c r="A40" s="83">
        <v>1200.0</v>
      </c>
      <c r="B40" s="83">
        <v>58.0</v>
      </c>
      <c r="C40" s="83">
        <v>95.0</v>
      </c>
      <c r="D40" s="83">
        <v>93.0</v>
      </c>
      <c r="E40" s="77"/>
      <c r="F40" s="83"/>
      <c r="G40" s="83"/>
      <c r="H40" s="83"/>
      <c r="I40" s="83"/>
      <c r="J40" s="79"/>
      <c r="K40" s="79"/>
      <c r="L40" s="79"/>
      <c r="M40" s="79"/>
      <c r="N40" s="79"/>
      <c r="O40" s="79"/>
      <c r="P40" s="79"/>
    </row>
    <row r="41" ht="15.75" customHeight="1">
      <c r="A41" s="83">
        <v>1400.0</v>
      </c>
      <c r="B41" s="83">
        <v>56.0</v>
      </c>
      <c r="C41" s="83">
        <v>90.0</v>
      </c>
      <c r="D41" s="83">
        <v>91.0</v>
      </c>
      <c r="E41" s="77"/>
      <c r="F41" s="83"/>
      <c r="G41" s="83"/>
      <c r="H41" s="83"/>
      <c r="I41" s="83"/>
      <c r="J41" s="79"/>
      <c r="K41" s="79"/>
      <c r="L41" s="79"/>
      <c r="M41" s="79"/>
      <c r="N41" s="79"/>
      <c r="O41" s="79"/>
      <c r="P41" s="79"/>
    </row>
    <row r="42" ht="15.75" customHeight="1">
      <c r="A42" s="83">
        <v>1600.0</v>
      </c>
      <c r="B42" s="83">
        <v>54.0</v>
      </c>
      <c r="C42" s="83">
        <v>85.0</v>
      </c>
      <c r="D42" s="83">
        <v>89.0</v>
      </c>
      <c r="E42" s="77"/>
      <c r="F42" s="83"/>
      <c r="G42" s="83"/>
      <c r="H42" s="83"/>
      <c r="I42" s="83"/>
      <c r="J42" s="79"/>
      <c r="K42" s="79"/>
      <c r="L42" s="79"/>
      <c r="M42" s="79"/>
      <c r="N42" s="79"/>
      <c r="O42" s="79"/>
      <c r="P42" s="79"/>
    </row>
    <row r="43" ht="15.75" customHeight="1">
      <c r="A43" s="83">
        <v>1800.0</v>
      </c>
      <c r="B43" s="83">
        <v>52.0</v>
      </c>
      <c r="C43" s="83">
        <v>80.0</v>
      </c>
      <c r="D43" s="83">
        <v>87.0</v>
      </c>
      <c r="E43" s="77"/>
      <c r="F43" s="83"/>
      <c r="G43" s="83"/>
      <c r="H43" s="83"/>
      <c r="I43" s="83"/>
      <c r="J43" s="79"/>
      <c r="K43" s="79"/>
      <c r="L43" s="79"/>
      <c r="M43" s="79"/>
      <c r="N43" s="79"/>
      <c r="O43" s="79"/>
      <c r="P43" s="79"/>
    </row>
    <row r="44" ht="15.75" customHeight="1">
      <c r="A44" s="83">
        <v>2000.0</v>
      </c>
      <c r="B44" s="83">
        <v>50.0</v>
      </c>
      <c r="C44" s="83">
        <v>75.0</v>
      </c>
      <c r="D44" s="83">
        <v>85.0</v>
      </c>
      <c r="E44" s="77"/>
      <c r="F44" s="83"/>
      <c r="G44" s="83"/>
      <c r="H44" s="83"/>
      <c r="I44" s="83"/>
      <c r="J44" s="79"/>
      <c r="K44" s="79"/>
      <c r="L44" s="79"/>
      <c r="M44" s="79"/>
      <c r="N44" s="79"/>
      <c r="O44" s="79"/>
      <c r="P44" s="79"/>
    </row>
    <row r="45" ht="15.75" customHeight="1">
      <c r="A45" s="83">
        <v>2500.0</v>
      </c>
      <c r="B45" s="83">
        <v>48.0</v>
      </c>
      <c r="C45" s="83">
        <v>70.0</v>
      </c>
      <c r="D45" s="83">
        <v>79.0</v>
      </c>
      <c r="E45" s="77"/>
      <c r="F45" s="83"/>
      <c r="G45" s="83"/>
      <c r="H45" s="83"/>
      <c r="I45" s="83"/>
      <c r="J45" s="79"/>
      <c r="K45" s="79"/>
      <c r="L45" s="79"/>
      <c r="M45" s="79"/>
      <c r="N45" s="79"/>
      <c r="O45" s="79"/>
      <c r="P45" s="79"/>
    </row>
    <row r="46" ht="15.75" customHeight="1">
      <c r="A46" s="83">
        <v>3000.0</v>
      </c>
      <c r="B46" s="83">
        <v>46.0</v>
      </c>
      <c r="C46" s="83">
        <v>65.0</v>
      </c>
      <c r="D46" s="83">
        <v>73.0</v>
      </c>
      <c r="E46" s="77"/>
      <c r="F46" s="83"/>
      <c r="G46" s="83"/>
      <c r="H46" s="83"/>
      <c r="I46" s="83"/>
      <c r="J46" s="79"/>
      <c r="K46" s="79"/>
      <c r="L46" s="79"/>
      <c r="M46" s="79"/>
      <c r="N46" s="79"/>
      <c r="O46" s="79"/>
      <c r="P46" s="79"/>
    </row>
    <row r="47" ht="15.75" customHeight="1">
      <c r="A47" s="83">
        <v>3500.0</v>
      </c>
      <c r="B47" s="83">
        <v>44.0</v>
      </c>
      <c r="C47" s="83">
        <v>60.0</v>
      </c>
      <c r="D47" s="83">
        <v>67.0</v>
      </c>
      <c r="E47" s="77"/>
      <c r="F47" s="83"/>
      <c r="G47" s="83"/>
      <c r="H47" s="83"/>
      <c r="I47" s="83"/>
      <c r="J47" s="79"/>
      <c r="K47" s="79"/>
      <c r="L47" s="79"/>
      <c r="M47" s="79"/>
      <c r="N47" s="79"/>
      <c r="O47" s="79"/>
      <c r="P47" s="79"/>
    </row>
    <row r="48" ht="15.75" customHeight="1">
      <c r="A48" s="83">
        <v>4000.0</v>
      </c>
      <c r="B48" s="83">
        <v>42.0</v>
      </c>
      <c r="C48" s="83">
        <v>55.0</v>
      </c>
      <c r="D48" s="83">
        <v>61.0</v>
      </c>
      <c r="E48" s="77"/>
      <c r="F48" s="83"/>
      <c r="G48" s="83"/>
      <c r="H48" s="83"/>
      <c r="I48" s="83"/>
      <c r="J48" s="79"/>
      <c r="K48" s="79"/>
      <c r="L48" s="79"/>
      <c r="M48" s="79"/>
      <c r="N48" s="79"/>
      <c r="O48" s="79"/>
      <c r="P48" s="79"/>
    </row>
    <row r="49" ht="15.75" customHeight="1">
      <c r="A49" s="83">
        <v>4500.0</v>
      </c>
      <c r="B49" s="83">
        <v>41.0</v>
      </c>
      <c r="C49" s="83">
        <v>50.0</v>
      </c>
      <c r="D49" s="83">
        <v>56.0</v>
      </c>
      <c r="E49" s="77"/>
      <c r="F49" s="83"/>
      <c r="G49" s="83"/>
      <c r="H49" s="83"/>
      <c r="I49" s="83"/>
      <c r="J49" s="79"/>
      <c r="K49" s="79"/>
      <c r="L49" s="79"/>
      <c r="M49" s="79"/>
      <c r="N49" s="79"/>
      <c r="O49" s="79"/>
      <c r="P49" s="79"/>
    </row>
    <row r="50" ht="15.75" customHeight="1">
      <c r="A50" s="83">
        <v>5000.0</v>
      </c>
      <c r="B50" s="83">
        <v>40.0</v>
      </c>
      <c r="C50" s="83">
        <v>50.0</v>
      </c>
      <c r="D50" s="83">
        <v>50.0</v>
      </c>
      <c r="E50" s="77"/>
      <c r="F50" s="83"/>
      <c r="G50" s="83"/>
      <c r="H50" s="83"/>
      <c r="I50" s="83"/>
      <c r="J50" s="79"/>
      <c r="K50" s="79"/>
      <c r="L50" s="79"/>
      <c r="M50" s="79"/>
      <c r="N50" s="79"/>
      <c r="O50" s="79"/>
      <c r="P50" s="79"/>
    </row>
    <row r="51" ht="15.75" customHeight="1">
      <c r="A51" s="83">
        <v>100000.0</v>
      </c>
      <c r="B51" s="83">
        <v>40.0</v>
      </c>
      <c r="C51" s="83">
        <v>50.0</v>
      </c>
      <c r="D51" s="88">
        <v>50.0</v>
      </c>
      <c r="E51" s="77"/>
      <c r="F51" s="83"/>
      <c r="G51" s="83"/>
      <c r="H51" s="83"/>
      <c r="I51" s="83"/>
      <c r="J51" s="79"/>
      <c r="K51" s="79"/>
      <c r="L51" s="79"/>
      <c r="M51" s="79"/>
      <c r="N51" s="79"/>
      <c r="O51" s="79"/>
      <c r="P51" s="79"/>
    </row>
    <row r="52" ht="15.75" customHeight="1">
      <c r="A52" s="83"/>
      <c r="B52" s="83"/>
      <c r="C52" s="83"/>
      <c r="D52" s="83"/>
      <c r="E52" s="77"/>
      <c r="F52" s="83"/>
      <c r="G52" s="83"/>
      <c r="H52" s="83"/>
      <c r="I52" s="83"/>
      <c r="J52" s="79"/>
      <c r="K52" s="79"/>
      <c r="L52" s="79"/>
      <c r="M52" s="79"/>
      <c r="N52" s="79"/>
      <c r="O52" s="79"/>
      <c r="P52" s="79"/>
    </row>
    <row r="53" ht="15.75" customHeight="1">
      <c r="A53" s="83"/>
      <c r="B53" s="83"/>
      <c r="C53" s="83"/>
      <c r="D53" s="83"/>
      <c r="E53" s="77"/>
      <c r="F53" s="83"/>
      <c r="G53" s="83"/>
      <c r="H53" s="83"/>
      <c r="I53" s="83"/>
      <c r="J53" s="79"/>
      <c r="K53" s="79"/>
      <c r="L53" s="79"/>
      <c r="M53" s="79"/>
      <c r="N53" s="79"/>
      <c r="O53" s="79"/>
      <c r="P53" s="79"/>
    </row>
    <row r="54" ht="15.75" customHeight="1">
      <c r="A54" s="83"/>
      <c r="B54" s="83"/>
      <c r="C54" s="83"/>
      <c r="D54" s="83"/>
      <c r="E54" s="77"/>
      <c r="F54" s="83"/>
      <c r="G54" s="83"/>
      <c r="H54" s="83"/>
      <c r="I54" s="83"/>
      <c r="J54" s="79"/>
      <c r="K54" s="79"/>
      <c r="L54" s="79"/>
      <c r="M54" s="79"/>
      <c r="N54" s="79"/>
      <c r="O54" s="79"/>
      <c r="P54" s="79"/>
    </row>
    <row r="55" ht="15.75" customHeight="1">
      <c r="A55" s="83"/>
      <c r="B55" s="83"/>
      <c r="C55" s="83"/>
      <c r="D55" s="83"/>
      <c r="E55" s="77"/>
      <c r="F55" s="83"/>
      <c r="G55" s="83"/>
      <c r="H55" s="83"/>
      <c r="I55" s="83"/>
      <c r="J55" s="79"/>
      <c r="K55" s="79"/>
      <c r="L55" s="79"/>
      <c r="M55" s="79"/>
      <c r="N55" s="79"/>
      <c r="O55" s="79"/>
      <c r="P55" s="79"/>
    </row>
    <row r="56" ht="22.5" customHeight="1">
      <c r="A56" s="61" t="s">
        <v>360</v>
      </c>
      <c r="F56" s="83"/>
      <c r="G56" s="83"/>
      <c r="H56" s="83"/>
      <c r="I56" s="83"/>
      <c r="J56" s="79"/>
      <c r="K56" s="79"/>
      <c r="L56" s="79"/>
      <c r="M56" s="79"/>
      <c r="N56" s="79"/>
      <c r="O56" s="79"/>
      <c r="P56" s="79"/>
    </row>
    <row r="57" ht="23.25" customHeight="1">
      <c r="A57" s="80" t="s">
        <v>356</v>
      </c>
      <c r="B57" s="64" t="s">
        <v>361</v>
      </c>
      <c r="C57" s="89" t="s">
        <v>362</v>
      </c>
      <c r="D57" s="63" t="s">
        <v>363</v>
      </c>
      <c r="E57" s="63" t="s">
        <v>364</v>
      </c>
      <c r="F57" s="83"/>
      <c r="G57" s="83"/>
      <c r="H57" s="83"/>
      <c r="I57" s="79"/>
      <c r="J57" s="79"/>
      <c r="K57" s="79"/>
      <c r="L57" s="79"/>
      <c r="M57" s="79"/>
      <c r="N57" s="79"/>
      <c r="O57" s="79"/>
    </row>
    <row r="58" ht="15.75" customHeight="1">
      <c r="A58" s="83">
        <v>1.0</v>
      </c>
      <c r="B58" s="84">
        <v>5000.0</v>
      </c>
      <c r="C58" s="84">
        <v>6000.0</v>
      </c>
      <c r="D58" s="84">
        <v>7000.0</v>
      </c>
      <c r="E58" s="84">
        <v>7000.0</v>
      </c>
      <c r="F58" s="83"/>
      <c r="G58" s="83"/>
      <c r="H58" s="83"/>
      <c r="I58" s="79"/>
      <c r="J58" s="79"/>
      <c r="K58" s="79"/>
      <c r="L58" s="79"/>
      <c r="M58" s="79"/>
      <c r="N58" s="79"/>
      <c r="O58" s="79"/>
    </row>
    <row r="59" ht="15.75" customHeight="1">
      <c r="A59" s="83">
        <v>2.0</v>
      </c>
      <c r="B59" s="84">
        <v>3000.0</v>
      </c>
      <c r="C59" s="84">
        <v>4000.0</v>
      </c>
      <c r="D59" s="84">
        <v>5000.0</v>
      </c>
      <c r="E59" s="84">
        <v>5000.0</v>
      </c>
      <c r="F59" s="83"/>
      <c r="G59" s="83"/>
      <c r="H59" s="83"/>
      <c r="I59" s="79"/>
      <c r="J59" s="79"/>
      <c r="K59" s="79"/>
      <c r="L59" s="79"/>
      <c r="M59" s="79"/>
      <c r="N59" s="79"/>
      <c r="O59" s="79"/>
    </row>
    <row r="60" ht="15.75" customHeight="1">
      <c r="A60" s="83">
        <v>3.0</v>
      </c>
      <c r="B60" s="84">
        <v>2000.0</v>
      </c>
      <c r="C60" s="84">
        <v>3000.0</v>
      </c>
      <c r="D60" s="84">
        <v>4000.0</v>
      </c>
      <c r="E60" s="84">
        <v>4000.0</v>
      </c>
      <c r="F60" s="83"/>
      <c r="G60" s="83"/>
      <c r="H60" s="83"/>
      <c r="I60" s="79"/>
      <c r="J60" s="79"/>
      <c r="K60" s="79"/>
      <c r="L60" s="79"/>
      <c r="M60" s="79"/>
      <c r="N60" s="79"/>
      <c r="O60" s="79"/>
    </row>
    <row r="61" ht="15.75" customHeight="1">
      <c r="A61" s="83">
        <v>4.0</v>
      </c>
      <c r="B61" s="84">
        <v>1500.0</v>
      </c>
      <c r="C61" s="84">
        <v>2000.0</v>
      </c>
      <c r="D61" s="84">
        <v>3000.0</v>
      </c>
      <c r="E61" s="84">
        <v>3000.0</v>
      </c>
      <c r="F61" s="83"/>
      <c r="G61" s="83"/>
      <c r="H61" s="83"/>
      <c r="I61" s="79"/>
      <c r="J61" s="79"/>
      <c r="K61" s="79"/>
      <c r="L61" s="79"/>
      <c r="M61" s="79"/>
      <c r="N61" s="79"/>
      <c r="O61" s="79"/>
    </row>
    <row r="62" ht="15.75" customHeight="1">
      <c r="A62" s="83">
        <v>5.0</v>
      </c>
      <c r="B62" s="84">
        <v>1000.0</v>
      </c>
      <c r="C62" s="84">
        <v>1500.0</v>
      </c>
      <c r="D62" s="84">
        <v>2000.0</v>
      </c>
      <c r="E62" s="84">
        <v>2000.0</v>
      </c>
      <c r="F62" s="83"/>
      <c r="G62" s="83"/>
      <c r="H62" s="83"/>
      <c r="I62" s="79"/>
      <c r="J62" s="79"/>
      <c r="K62" s="79"/>
      <c r="L62" s="79"/>
      <c r="M62" s="79"/>
      <c r="N62" s="79"/>
      <c r="O62" s="79"/>
    </row>
    <row r="63" ht="15.75" customHeight="1">
      <c r="A63" s="83">
        <v>6.0</v>
      </c>
      <c r="B63" s="84">
        <v>900.0</v>
      </c>
      <c r="C63" s="84">
        <v>1400.0</v>
      </c>
      <c r="D63" s="84">
        <v>1900.0</v>
      </c>
      <c r="E63" s="84">
        <v>1900.0</v>
      </c>
      <c r="F63" s="83"/>
      <c r="G63" s="83"/>
      <c r="H63" s="83"/>
      <c r="I63" s="79"/>
      <c r="J63" s="79"/>
      <c r="K63" s="79"/>
      <c r="L63" s="79"/>
      <c r="M63" s="79"/>
      <c r="N63" s="79"/>
      <c r="O63" s="79"/>
    </row>
    <row r="64" ht="15.75" customHeight="1">
      <c r="A64" s="83">
        <v>7.0</v>
      </c>
      <c r="B64" s="84">
        <v>900.0</v>
      </c>
      <c r="C64" s="84">
        <v>1300.0</v>
      </c>
      <c r="D64" s="84">
        <v>1700.0</v>
      </c>
      <c r="E64" s="84">
        <v>1700.0</v>
      </c>
      <c r="F64" s="83"/>
      <c r="G64" s="83"/>
      <c r="H64" s="83"/>
      <c r="I64" s="79"/>
      <c r="J64" s="79"/>
      <c r="K64" s="79"/>
      <c r="L64" s="79"/>
      <c r="M64" s="79"/>
      <c r="N64" s="79"/>
      <c r="O64" s="79"/>
    </row>
    <row r="65" ht="15.75" customHeight="1">
      <c r="A65" s="83">
        <v>8.0</v>
      </c>
      <c r="B65" s="84">
        <v>800.0</v>
      </c>
      <c r="C65" s="84">
        <v>1100.0</v>
      </c>
      <c r="D65" s="84">
        <v>1500.0</v>
      </c>
      <c r="E65" s="84">
        <v>1500.0</v>
      </c>
      <c r="F65" s="83"/>
      <c r="G65" s="83"/>
      <c r="H65" s="83"/>
      <c r="I65" s="79"/>
      <c r="J65" s="79"/>
      <c r="K65" s="79"/>
      <c r="L65" s="79"/>
      <c r="M65" s="79"/>
      <c r="N65" s="79"/>
      <c r="O65" s="79"/>
    </row>
    <row r="66" ht="15.75" customHeight="1">
      <c r="A66" s="83">
        <v>9.0</v>
      </c>
      <c r="B66" s="84">
        <v>800.0</v>
      </c>
      <c r="C66" s="84">
        <v>1000.0</v>
      </c>
      <c r="D66" s="84">
        <v>1300.0</v>
      </c>
      <c r="E66" s="84">
        <v>1300.0</v>
      </c>
      <c r="F66" s="83"/>
      <c r="G66" s="83"/>
      <c r="H66" s="83"/>
      <c r="I66" s="79"/>
      <c r="J66" s="79"/>
      <c r="K66" s="79"/>
      <c r="L66" s="79"/>
      <c r="M66" s="79"/>
      <c r="N66" s="79"/>
      <c r="O66" s="79"/>
    </row>
    <row r="67" ht="15.75" customHeight="1">
      <c r="A67" s="83">
        <v>10.0</v>
      </c>
      <c r="B67" s="84">
        <v>700.0</v>
      </c>
      <c r="C67" s="84">
        <v>800.0</v>
      </c>
      <c r="D67" s="84">
        <v>1100.0</v>
      </c>
      <c r="E67" s="84">
        <v>1100.0</v>
      </c>
      <c r="F67" s="83"/>
      <c r="G67" s="83"/>
      <c r="H67" s="83"/>
      <c r="I67" s="79"/>
      <c r="J67" s="79"/>
      <c r="K67" s="79"/>
      <c r="L67" s="79"/>
      <c r="M67" s="79"/>
      <c r="N67" s="79"/>
      <c r="O67" s="79"/>
    </row>
    <row r="68" ht="15.75" customHeight="1">
      <c r="A68" s="83">
        <v>15.0</v>
      </c>
      <c r="B68" s="84">
        <v>650.0</v>
      </c>
      <c r="C68" s="84">
        <v>750.0</v>
      </c>
      <c r="D68" s="84">
        <v>1000.0</v>
      </c>
      <c r="E68" s="84">
        <v>1000.0</v>
      </c>
      <c r="F68" s="83"/>
      <c r="G68" s="83"/>
      <c r="H68" s="83"/>
      <c r="I68" s="79"/>
      <c r="J68" s="79"/>
      <c r="K68" s="79"/>
      <c r="L68" s="79"/>
      <c r="M68" s="79"/>
      <c r="N68" s="79"/>
      <c r="O68" s="79"/>
    </row>
    <row r="69" ht="15.75" customHeight="1">
      <c r="A69" s="83">
        <v>20.0</v>
      </c>
      <c r="B69" s="84">
        <v>600.0</v>
      </c>
      <c r="C69" s="84">
        <v>700.0</v>
      </c>
      <c r="D69" s="84">
        <v>900.0</v>
      </c>
      <c r="E69" s="84">
        <v>900.0</v>
      </c>
      <c r="F69" s="83"/>
      <c r="G69" s="83"/>
      <c r="H69" s="83"/>
      <c r="I69" s="79"/>
      <c r="J69" s="79"/>
      <c r="K69" s="79"/>
      <c r="L69" s="79"/>
      <c r="M69" s="79"/>
      <c r="N69" s="79"/>
      <c r="O69" s="79"/>
    </row>
    <row r="70" ht="15.75" customHeight="1">
      <c r="A70" s="83">
        <v>25.0</v>
      </c>
      <c r="B70" s="84">
        <v>550.0</v>
      </c>
      <c r="C70" s="84">
        <v>650.0</v>
      </c>
      <c r="D70" s="84">
        <v>800.0</v>
      </c>
      <c r="E70" s="84">
        <v>800.0</v>
      </c>
      <c r="F70" s="83"/>
      <c r="G70" s="83"/>
      <c r="H70" s="83"/>
      <c r="I70" s="79"/>
      <c r="J70" s="79"/>
      <c r="K70" s="79"/>
      <c r="L70" s="79"/>
      <c r="M70" s="79"/>
      <c r="N70" s="79"/>
      <c r="O70" s="79"/>
    </row>
    <row r="71" ht="15.75" customHeight="1">
      <c r="A71" s="83">
        <v>30.0</v>
      </c>
      <c r="B71" s="84">
        <v>500.0</v>
      </c>
      <c r="C71" s="84">
        <v>600.0</v>
      </c>
      <c r="D71" s="84">
        <v>700.0</v>
      </c>
      <c r="E71" s="84">
        <v>700.0</v>
      </c>
      <c r="F71" s="83"/>
      <c r="G71" s="83"/>
      <c r="H71" s="83"/>
      <c r="I71" s="79"/>
      <c r="J71" s="79"/>
      <c r="K71" s="79"/>
      <c r="L71" s="79"/>
      <c r="M71" s="79"/>
      <c r="N71" s="79"/>
      <c r="O71" s="79"/>
    </row>
    <row r="72" ht="15.75" customHeight="1">
      <c r="A72" s="83">
        <v>35.0</v>
      </c>
      <c r="B72" s="84">
        <v>480.0</v>
      </c>
      <c r="C72" s="84">
        <v>570.0</v>
      </c>
      <c r="D72" s="84">
        <v>670.0</v>
      </c>
      <c r="E72" s="84">
        <v>670.0</v>
      </c>
      <c r="F72" s="83"/>
      <c r="G72" s="83"/>
      <c r="H72" s="83"/>
      <c r="I72" s="79"/>
      <c r="J72" s="79"/>
      <c r="K72" s="79"/>
      <c r="L72" s="79"/>
      <c r="M72" s="79"/>
      <c r="N72" s="79"/>
      <c r="O72" s="79"/>
    </row>
    <row r="73" ht="15.75" customHeight="1">
      <c r="A73" s="83">
        <v>40.0</v>
      </c>
      <c r="B73" s="84">
        <v>460.0</v>
      </c>
      <c r="C73" s="84">
        <v>540.0</v>
      </c>
      <c r="D73" s="84">
        <v>640.0</v>
      </c>
      <c r="E73" s="84">
        <v>640.0</v>
      </c>
      <c r="F73" s="83"/>
      <c r="G73" s="83"/>
      <c r="H73" s="83"/>
      <c r="I73" s="79"/>
      <c r="J73" s="79"/>
      <c r="K73" s="79"/>
      <c r="L73" s="79"/>
      <c r="M73" s="79"/>
      <c r="N73" s="79"/>
      <c r="O73" s="79"/>
    </row>
    <row r="74" ht="15.75" customHeight="1">
      <c r="A74" s="83">
        <v>45.0</v>
      </c>
      <c r="B74" s="84">
        <v>440.0</v>
      </c>
      <c r="C74" s="84">
        <v>510.0</v>
      </c>
      <c r="D74" s="84">
        <v>610.0</v>
      </c>
      <c r="E74" s="84">
        <v>610.0</v>
      </c>
      <c r="F74" s="83"/>
      <c r="G74" s="83"/>
      <c r="H74" s="83"/>
      <c r="I74" s="79"/>
      <c r="J74" s="79"/>
      <c r="K74" s="79"/>
      <c r="L74" s="79"/>
      <c r="M74" s="79"/>
      <c r="N74" s="79"/>
      <c r="O74" s="79"/>
    </row>
    <row r="75" ht="15.75" customHeight="1">
      <c r="A75" s="83">
        <v>50.0</v>
      </c>
      <c r="B75" s="84">
        <v>420.0</v>
      </c>
      <c r="C75" s="84">
        <v>480.0</v>
      </c>
      <c r="D75" s="84">
        <v>580.0</v>
      </c>
      <c r="E75" s="84">
        <v>580.0</v>
      </c>
      <c r="F75" s="83"/>
      <c r="G75" s="83"/>
      <c r="H75" s="83"/>
      <c r="I75" s="79"/>
      <c r="J75" s="79"/>
      <c r="K75" s="79"/>
      <c r="L75" s="79"/>
      <c r="M75" s="79"/>
      <c r="N75" s="79"/>
      <c r="O75" s="79"/>
    </row>
    <row r="76" ht="15.75" customHeight="1">
      <c r="A76" s="83">
        <v>60.0</v>
      </c>
      <c r="B76" s="84">
        <v>390.0</v>
      </c>
      <c r="C76" s="84">
        <v>450.0</v>
      </c>
      <c r="D76" s="84">
        <v>550.0</v>
      </c>
      <c r="E76" s="84">
        <v>550.0</v>
      </c>
      <c r="F76" s="83"/>
      <c r="G76" s="83"/>
      <c r="H76" s="83"/>
      <c r="I76" s="79"/>
      <c r="J76" s="79"/>
      <c r="K76" s="79"/>
      <c r="L76" s="79"/>
      <c r="M76" s="79"/>
      <c r="N76" s="79"/>
      <c r="O76" s="79"/>
    </row>
    <row r="77" ht="15.75" customHeight="1">
      <c r="A77" s="83">
        <v>70.0</v>
      </c>
      <c r="B77" s="84">
        <v>360.0</v>
      </c>
      <c r="C77" s="84">
        <v>420.0</v>
      </c>
      <c r="D77" s="84">
        <v>520.0</v>
      </c>
      <c r="E77" s="84">
        <v>520.0</v>
      </c>
      <c r="F77" s="83"/>
      <c r="G77" s="83"/>
      <c r="H77" s="83"/>
      <c r="I77" s="79"/>
      <c r="J77" s="79"/>
      <c r="K77" s="79"/>
      <c r="L77" s="79"/>
      <c r="M77" s="79"/>
      <c r="N77" s="79"/>
      <c r="O77" s="79"/>
    </row>
    <row r="78" ht="15.75" customHeight="1">
      <c r="A78" s="83">
        <v>80.0</v>
      </c>
      <c r="B78" s="84">
        <v>330.0</v>
      </c>
      <c r="C78" s="84">
        <v>390.0</v>
      </c>
      <c r="D78" s="84">
        <v>490.0</v>
      </c>
      <c r="E78" s="84">
        <v>490.0</v>
      </c>
      <c r="F78" s="83"/>
      <c r="G78" s="83"/>
      <c r="H78" s="83"/>
      <c r="I78" s="79"/>
      <c r="J78" s="79"/>
      <c r="K78" s="79"/>
      <c r="L78" s="79"/>
      <c r="M78" s="79"/>
      <c r="N78" s="79"/>
      <c r="O78" s="79"/>
    </row>
    <row r="79" ht="15.75" customHeight="1">
      <c r="A79" s="83">
        <v>90.0</v>
      </c>
      <c r="B79" s="84">
        <v>300.0</v>
      </c>
      <c r="C79" s="84">
        <v>360.0</v>
      </c>
      <c r="D79" s="84">
        <v>460.0</v>
      </c>
      <c r="E79" s="84">
        <v>460.0</v>
      </c>
      <c r="F79" s="83"/>
      <c r="G79" s="83"/>
      <c r="H79" s="83"/>
      <c r="I79" s="79"/>
      <c r="J79" s="79"/>
      <c r="K79" s="79"/>
      <c r="L79" s="79"/>
      <c r="M79" s="79"/>
      <c r="N79" s="79"/>
      <c r="O79" s="79"/>
    </row>
    <row r="80" ht="15.75" customHeight="1">
      <c r="A80" s="83">
        <v>100.0</v>
      </c>
      <c r="B80" s="84">
        <v>270.0</v>
      </c>
      <c r="C80" s="84">
        <v>330.0</v>
      </c>
      <c r="D80" s="84">
        <v>430.0</v>
      </c>
      <c r="E80" s="84">
        <v>430.0</v>
      </c>
      <c r="F80" s="78"/>
      <c r="G80" s="79"/>
      <c r="H80" s="79"/>
      <c r="I80" s="79"/>
      <c r="J80" s="79"/>
      <c r="K80" s="79"/>
      <c r="L80" s="79"/>
      <c r="M80" s="79"/>
      <c r="N80" s="79"/>
      <c r="O80" s="79"/>
    </row>
    <row r="81" ht="15.75" customHeight="1">
      <c r="A81" s="83">
        <v>150.0</v>
      </c>
      <c r="B81" s="83">
        <v>240.0</v>
      </c>
      <c r="C81" s="83">
        <v>300.0</v>
      </c>
      <c r="D81" s="83">
        <v>370.0</v>
      </c>
      <c r="E81" s="83">
        <v>370.0</v>
      </c>
      <c r="F81" s="78"/>
      <c r="G81" s="79"/>
      <c r="H81" s="79"/>
      <c r="I81" s="79"/>
      <c r="J81" s="79"/>
      <c r="K81" s="79"/>
      <c r="L81" s="79"/>
      <c r="M81" s="79"/>
      <c r="N81" s="79"/>
      <c r="O81" s="79"/>
    </row>
    <row r="82" ht="15.75" customHeight="1">
      <c r="A82" s="83">
        <v>200.0</v>
      </c>
      <c r="B82" s="83">
        <v>210.0</v>
      </c>
      <c r="C82" s="83">
        <v>270.0</v>
      </c>
      <c r="D82" s="83">
        <v>340.0</v>
      </c>
      <c r="E82" s="83">
        <v>340.0</v>
      </c>
      <c r="F82" s="78"/>
      <c r="G82" s="79"/>
      <c r="H82" s="79"/>
      <c r="I82" s="79"/>
      <c r="J82" s="79"/>
      <c r="K82" s="79"/>
      <c r="L82" s="79"/>
      <c r="M82" s="79"/>
      <c r="N82" s="79"/>
      <c r="O82" s="79"/>
    </row>
    <row r="83" ht="15.75" customHeight="1">
      <c r="A83" s="83">
        <v>250.0</v>
      </c>
      <c r="B83" s="83">
        <v>180.0</v>
      </c>
      <c r="C83" s="83">
        <v>240.0</v>
      </c>
      <c r="D83" s="83">
        <v>310.0</v>
      </c>
      <c r="E83" s="83">
        <v>310.0</v>
      </c>
      <c r="F83" s="78"/>
      <c r="G83" s="79"/>
      <c r="H83" s="79"/>
      <c r="I83" s="79"/>
      <c r="J83" s="79"/>
      <c r="K83" s="79"/>
      <c r="L83" s="79"/>
      <c r="M83" s="79"/>
      <c r="N83" s="79"/>
      <c r="O83" s="79"/>
    </row>
    <row r="84" ht="15.75" customHeight="1">
      <c r="A84" s="83">
        <v>300.0</v>
      </c>
      <c r="B84" s="83">
        <v>150.0</v>
      </c>
      <c r="C84" s="83">
        <v>210.0</v>
      </c>
      <c r="D84" s="83">
        <v>280.0</v>
      </c>
      <c r="E84" s="83">
        <v>280.0</v>
      </c>
      <c r="F84" s="78"/>
      <c r="G84" s="79"/>
      <c r="H84" s="79"/>
      <c r="I84" s="79"/>
      <c r="J84" s="79"/>
      <c r="K84" s="79"/>
      <c r="L84" s="79"/>
      <c r="M84" s="79"/>
      <c r="N84" s="79"/>
      <c r="O84" s="79"/>
    </row>
    <row r="85" ht="16.5" customHeight="1">
      <c r="A85" s="83">
        <v>350.0</v>
      </c>
      <c r="B85" s="83">
        <v>120.0</v>
      </c>
      <c r="C85" s="83">
        <v>190.0</v>
      </c>
      <c r="D85" s="83">
        <v>260.0</v>
      </c>
      <c r="E85" s="83">
        <v>260.0</v>
      </c>
      <c r="F85" s="78"/>
      <c r="G85" s="79"/>
      <c r="H85" s="79"/>
      <c r="I85" s="79"/>
      <c r="J85" s="79"/>
      <c r="K85" s="79"/>
      <c r="L85" s="79"/>
      <c r="M85" s="79"/>
      <c r="N85" s="79"/>
      <c r="O85" s="79"/>
    </row>
    <row r="86" ht="15.75" customHeight="1">
      <c r="A86" s="83">
        <v>400.0</v>
      </c>
      <c r="B86" s="83">
        <v>100.0</v>
      </c>
      <c r="C86" s="83">
        <v>170.0</v>
      </c>
      <c r="D86" s="83">
        <v>240.0</v>
      </c>
      <c r="E86" s="83">
        <v>240.0</v>
      </c>
      <c r="F86" s="78"/>
      <c r="G86" s="79"/>
      <c r="H86" s="79"/>
      <c r="I86" s="79"/>
      <c r="J86" s="79"/>
      <c r="K86" s="79"/>
      <c r="L86" s="79"/>
      <c r="M86" s="79"/>
      <c r="N86" s="79"/>
      <c r="O86" s="79"/>
    </row>
    <row r="87" ht="15.75" customHeight="1">
      <c r="A87" s="83">
        <v>450.0</v>
      </c>
      <c r="B87" s="83">
        <v>90.0</v>
      </c>
      <c r="C87" s="83">
        <v>160.0</v>
      </c>
      <c r="D87" s="83">
        <v>220.0</v>
      </c>
      <c r="E87" s="83">
        <v>220.0</v>
      </c>
      <c r="F87" s="78"/>
      <c r="G87" s="79"/>
      <c r="H87" s="79"/>
      <c r="I87" s="79"/>
      <c r="J87" s="79"/>
      <c r="K87" s="79"/>
      <c r="L87" s="79"/>
      <c r="M87" s="79"/>
      <c r="N87" s="79"/>
      <c r="O87" s="79"/>
    </row>
    <row r="88" ht="15.75" customHeight="1">
      <c r="A88" s="83">
        <v>500.0</v>
      </c>
      <c r="B88" s="83">
        <v>80.0</v>
      </c>
      <c r="C88" s="83">
        <v>150.0</v>
      </c>
      <c r="D88" s="83">
        <v>200.0</v>
      </c>
      <c r="E88" s="83">
        <v>200.0</v>
      </c>
      <c r="F88" s="78"/>
      <c r="G88" s="79"/>
      <c r="H88" s="79"/>
      <c r="I88" s="79"/>
      <c r="J88" s="79"/>
      <c r="K88" s="79"/>
      <c r="L88" s="79"/>
      <c r="M88" s="79"/>
      <c r="N88" s="79"/>
      <c r="O88" s="79"/>
    </row>
    <row r="89" ht="15.75" customHeight="1">
      <c r="A89" s="83">
        <v>600.0</v>
      </c>
      <c r="B89" s="83">
        <v>75.0</v>
      </c>
      <c r="C89" s="83">
        <v>140.0</v>
      </c>
      <c r="D89" s="83">
        <v>190.0</v>
      </c>
      <c r="E89" s="83">
        <v>190.0</v>
      </c>
      <c r="F89" s="78"/>
      <c r="G89" s="79"/>
      <c r="H89" s="79"/>
      <c r="I89" s="79"/>
      <c r="J89" s="79"/>
      <c r="K89" s="79"/>
      <c r="L89" s="79"/>
      <c r="M89" s="79"/>
      <c r="N89" s="79"/>
      <c r="O89" s="79"/>
    </row>
    <row r="90" ht="15.75" customHeight="1">
      <c r="A90" s="83">
        <v>700.0</v>
      </c>
      <c r="B90" s="83">
        <v>70.0</v>
      </c>
      <c r="C90" s="83">
        <v>130.0</v>
      </c>
      <c r="D90" s="83">
        <v>180.0</v>
      </c>
      <c r="E90" s="83">
        <v>180.0</v>
      </c>
      <c r="F90" s="78"/>
      <c r="G90" s="79"/>
      <c r="H90" s="79"/>
      <c r="I90" s="79"/>
      <c r="J90" s="79"/>
      <c r="K90" s="79"/>
      <c r="L90" s="79"/>
      <c r="M90" s="79"/>
      <c r="N90" s="79"/>
      <c r="O90" s="79"/>
    </row>
    <row r="91" ht="15.75" customHeight="1">
      <c r="A91" s="83">
        <v>800.0</v>
      </c>
      <c r="B91" s="83">
        <v>65.0</v>
      </c>
      <c r="C91" s="83">
        <v>120.0</v>
      </c>
      <c r="D91" s="83">
        <v>170.0</v>
      </c>
      <c r="E91" s="83">
        <v>170.0</v>
      </c>
      <c r="F91" s="78"/>
      <c r="G91" s="79"/>
      <c r="H91" s="79"/>
      <c r="I91" s="79"/>
      <c r="J91" s="79"/>
      <c r="K91" s="79"/>
      <c r="L91" s="79"/>
      <c r="M91" s="79"/>
      <c r="N91" s="79"/>
      <c r="O91" s="79"/>
    </row>
    <row r="92" ht="15.75" customHeight="1">
      <c r="A92" s="83">
        <v>900.0</v>
      </c>
      <c r="B92" s="83">
        <v>60.0</v>
      </c>
      <c r="C92" s="83">
        <v>110.0</v>
      </c>
      <c r="D92" s="83">
        <v>160.0</v>
      </c>
      <c r="E92" s="83">
        <v>160.0</v>
      </c>
      <c r="F92" s="78"/>
      <c r="G92" s="79"/>
      <c r="H92" s="79"/>
      <c r="I92" s="79"/>
      <c r="J92" s="79"/>
      <c r="K92" s="79"/>
      <c r="L92" s="79"/>
      <c r="M92" s="79"/>
      <c r="N92" s="79"/>
      <c r="O92" s="79"/>
    </row>
    <row r="93" ht="15.75" customHeight="1">
      <c r="A93" s="83">
        <v>1000.0</v>
      </c>
      <c r="B93" s="83">
        <v>60.0</v>
      </c>
      <c r="C93" s="83">
        <v>100.0</v>
      </c>
      <c r="D93" s="83">
        <v>150.0</v>
      </c>
      <c r="E93" s="83">
        <v>150.0</v>
      </c>
      <c r="F93" s="78"/>
      <c r="G93" s="79"/>
      <c r="H93" s="79"/>
      <c r="I93" s="79"/>
      <c r="J93" s="79"/>
      <c r="K93" s="79"/>
      <c r="L93" s="79"/>
      <c r="M93" s="79"/>
      <c r="N93" s="79"/>
      <c r="O93" s="79"/>
    </row>
    <row r="94" ht="15.75" customHeight="1">
      <c r="A94" s="83">
        <v>1200.0</v>
      </c>
      <c r="B94" s="83">
        <v>58.0</v>
      </c>
      <c r="C94" s="83">
        <v>95.0</v>
      </c>
      <c r="D94" s="83">
        <v>140.0</v>
      </c>
      <c r="E94" s="83">
        <v>140.0</v>
      </c>
      <c r="F94" s="78"/>
      <c r="G94" s="79"/>
      <c r="H94" s="79"/>
      <c r="I94" s="79"/>
      <c r="J94" s="79"/>
      <c r="K94" s="79"/>
      <c r="L94" s="79"/>
      <c r="M94" s="79"/>
      <c r="N94" s="79"/>
      <c r="O94" s="79"/>
    </row>
    <row r="95" ht="15.75" customHeight="1">
      <c r="A95" s="83">
        <v>1400.0</v>
      </c>
      <c r="B95" s="83">
        <v>56.0</v>
      </c>
      <c r="C95" s="83">
        <v>90.0</v>
      </c>
      <c r="D95" s="83">
        <v>130.0</v>
      </c>
      <c r="E95" s="83">
        <v>130.0</v>
      </c>
      <c r="F95" s="78"/>
      <c r="G95" s="79"/>
      <c r="H95" s="79"/>
      <c r="I95" s="79"/>
      <c r="J95" s="79"/>
      <c r="K95" s="79"/>
      <c r="L95" s="79"/>
      <c r="M95" s="79"/>
      <c r="N95" s="79"/>
      <c r="O95" s="79"/>
    </row>
    <row r="96" ht="15.75" customHeight="1">
      <c r="A96" s="83">
        <v>1600.0</v>
      </c>
      <c r="B96" s="83">
        <v>54.0</v>
      </c>
      <c r="C96" s="83">
        <v>85.0</v>
      </c>
      <c r="D96" s="83">
        <v>120.0</v>
      </c>
      <c r="E96" s="83">
        <v>120.0</v>
      </c>
      <c r="F96" s="78"/>
      <c r="G96" s="79"/>
      <c r="H96" s="79"/>
      <c r="I96" s="79"/>
      <c r="J96" s="79"/>
      <c r="K96" s="79"/>
      <c r="L96" s="79"/>
      <c r="M96" s="79"/>
      <c r="N96" s="79"/>
      <c r="O96" s="79"/>
    </row>
    <row r="97" ht="15.75" customHeight="1">
      <c r="A97" s="83">
        <v>1800.0</v>
      </c>
      <c r="B97" s="83">
        <v>52.0</v>
      </c>
      <c r="C97" s="83">
        <v>80.0</v>
      </c>
      <c r="D97" s="83">
        <v>110.0</v>
      </c>
      <c r="E97" s="83">
        <v>110.0</v>
      </c>
      <c r="F97" s="78"/>
      <c r="G97" s="79"/>
      <c r="H97" s="79"/>
      <c r="I97" s="79"/>
      <c r="J97" s="79"/>
      <c r="K97" s="79"/>
      <c r="L97" s="79"/>
      <c r="M97" s="79"/>
      <c r="N97" s="79"/>
      <c r="O97" s="79"/>
    </row>
    <row r="98" ht="15.75" customHeight="1">
      <c r="A98" s="83">
        <v>2000.0</v>
      </c>
      <c r="B98" s="83">
        <v>50.0</v>
      </c>
      <c r="C98" s="83">
        <v>75.0</v>
      </c>
      <c r="D98" s="83">
        <v>105.0</v>
      </c>
      <c r="E98" s="83">
        <v>105.0</v>
      </c>
      <c r="F98" s="78"/>
      <c r="G98" s="79"/>
      <c r="H98" s="79"/>
      <c r="I98" s="79"/>
      <c r="J98" s="79"/>
      <c r="K98" s="79"/>
      <c r="L98" s="79"/>
      <c r="M98" s="79"/>
      <c r="N98" s="79"/>
      <c r="O98" s="79"/>
    </row>
    <row r="99" ht="15.75" customHeight="1">
      <c r="A99" s="83">
        <v>2500.0</v>
      </c>
      <c r="B99" s="83">
        <v>48.0</v>
      </c>
      <c r="C99" s="83">
        <v>70.0</v>
      </c>
      <c r="D99" s="83">
        <v>100.0</v>
      </c>
      <c r="E99" s="83">
        <v>100.0</v>
      </c>
      <c r="F99" s="78"/>
      <c r="G99" s="79"/>
      <c r="H99" s="79"/>
      <c r="I99" s="79"/>
      <c r="J99" s="79"/>
      <c r="K99" s="79"/>
      <c r="L99" s="79"/>
      <c r="M99" s="79"/>
      <c r="N99" s="79"/>
      <c r="O99" s="79"/>
    </row>
    <row r="100" ht="15.75" customHeight="1">
      <c r="A100" s="83">
        <v>3000.0</v>
      </c>
      <c r="B100" s="83">
        <v>46.0</v>
      </c>
      <c r="C100" s="83">
        <v>65.0</v>
      </c>
      <c r="D100" s="83">
        <v>95.0</v>
      </c>
      <c r="E100" s="83">
        <v>95.0</v>
      </c>
      <c r="F100" s="78"/>
      <c r="G100" s="79"/>
      <c r="H100" s="79"/>
      <c r="I100" s="79"/>
      <c r="J100" s="79"/>
      <c r="K100" s="79"/>
      <c r="L100" s="79"/>
      <c r="M100" s="79"/>
      <c r="N100" s="79"/>
      <c r="O100" s="79"/>
    </row>
    <row r="101" ht="15.75" customHeight="1">
      <c r="A101" s="83">
        <v>3500.0</v>
      </c>
      <c r="B101" s="83">
        <v>44.0</v>
      </c>
      <c r="C101" s="83">
        <v>60.0</v>
      </c>
      <c r="D101" s="83">
        <v>90.0</v>
      </c>
      <c r="E101" s="83">
        <v>90.0</v>
      </c>
      <c r="F101" s="78"/>
      <c r="G101" s="79"/>
      <c r="H101" s="79"/>
      <c r="I101" s="79"/>
      <c r="J101" s="79"/>
      <c r="K101" s="79"/>
      <c r="L101" s="79"/>
      <c r="M101" s="79"/>
      <c r="N101" s="79"/>
      <c r="O101" s="79"/>
    </row>
    <row r="102" ht="15.75" customHeight="1">
      <c r="A102" s="83">
        <v>4000.0</v>
      </c>
      <c r="B102" s="83">
        <v>42.0</v>
      </c>
      <c r="C102" s="83">
        <v>55.0</v>
      </c>
      <c r="D102" s="83">
        <v>85.0</v>
      </c>
      <c r="E102" s="83">
        <v>85.0</v>
      </c>
      <c r="F102" s="78"/>
      <c r="G102" s="79"/>
      <c r="H102" s="79"/>
      <c r="I102" s="79"/>
      <c r="J102" s="79"/>
      <c r="K102" s="79"/>
      <c r="L102" s="79"/>
      <c r="M102" s="79"/>
      <c r="N102" s="79"/>
      <c r="O102" s="79"/>
    </row>
    <row r="103" ht="15.75" customHeight="1">
      <c r="A103" s="83">
        <v>4500.0</v>
      </c>
      <c r="B103" s="83">
        <v>41.0</v>
      </c>
      <c r="C103" s="83">
        <v>50.0</v>
      </c>
      <c r="D103" s="83">
        <v>80.0</v>
      </c>
      <c r="E103" s="83">
        <v>80.0</v>
      </c>
      <c r="F103" s="78"/>
      <c r="G103" s="79"/>
      <c r="H103" s="79"/>
      <c r="I103" s="79"/>
      <c r="J103" s="79"/>
      <c r="K103" s="79"/>
      <c r="L103" s="79"/>
      <c r="M103" s="79"/>
      <c r="N103" s="79"/>
      <c r="O103" s="79"/>
    </row>
    <row r="104" ht="15.75" customHeight="1">
      <c r="A104" s="83">
        <v>5000.0</v>
      </c>
      <c r="B104" s="83">
        <v>40.0</v>
      </c>
      <c r="C104" s="83">
        <v>50.0</v>
      </c>
      <c r="D104" s="83">
        <v>70.0</v>
      </c>
      <c r="E104" s="83">
        <v>70.0</v>
      </c>
      <c r="F104" s="78"/>
      <c r="G104" s="79"/>
      <c r="H104" s="79"/>
      <c r="I104" s="79"/>
      <c r="J104" s="79"/>
      <c r="K104" s="79"/>
      <c r="L104" s="79"/>
      <c r="M104" s="79"/>
      <c r="N104" s="79"/>
      <c r="O104" s="79"/>
    </row>
    <row r="105" ht="15.75" customHeight="1">
      <c r="A105" s="83">
        <v>100000.0</v>
      </c>
      <c r="B105" s="83">
        <v>40.0</v>
      </c>
      <c r="C105" s="83">
        <v>50.0</v>
      </c>
      <c r="D105" s="83">
        <v>65.0</v>
      </c>
      <c r="E105" s="83">
        <v>65.0</v>
      </c>
      <c r="F105" s="78"/>
      <c r="G105" s="79"/>
      <c r="H105" s="79"/>
      <c r="I105" s="79"/>
      <c r="J105" s="79"/>
      <c r="K105" s="79"/>
      <c r="L105" s="79"/>
      <c r="M105" s="79"/>
      <c r="N105" s="79"/>
      <c r="O105" s="79"/>
    </row>
    <row r="106" ht="15.75" customHeight="1">
      <c r="E106" s="77"/>
      <c r="F106" s="77"/>
      <c r="G106" s="78"/>
      <c r="H106" s="79"/>
      <c r="I106" s="79"/>
      <c r="J106" s="79"/>
      <c r="K106" s="79"/>
      <c r="L106" s="79"/>
      <c r="M106" s="79"/>
      <c r="N106" s="79"/>
      <c r="O106" s="79"/>
      <c r="P106" s="79"/>
    </row>
    <row r="107" ht="15.75" customHeight="1">
      <c r="E107" s="77"/>
      <c r="F107" s="77"/>
      <c r="G107" s="78"/>
      <c r="H107" s="79"/>
      <c r="I107" s="79"/>
      <c r="J107" s="79"/>
      <c r="K107" s="79"/>
      <c r="L107" s="79"/>
      <c r="M107" s="79"/>
      <c r="N107" s="79"/>
      <c r="O107" s="79"/>
      <c r="P107" s="79"/>
    </row>
    <row r="108" ht="15.75" customHeight="1">
      <c r="E108" s="77"/>
      <c r="F108" s="77"/>
      <c r="G108" s="78"/>
      <c r="H108" s="79"/>
      <c r="I108" s="79"/>
      <c r="J108" s="79"/>
      <c r="K108" s="79"/>
      <c r="L108" s="79"/>
      <c r="M108" s="79"/>
      <c r="N108" s="79"/>
      <c r="O108" s="79"/>
      <c r="P108" s="79"/>
    </row>
    <row r="109" ht="15.75" customHeight="1">
      <c r="E109" s="77"/>
      <c r="F109" s="77"/>
      <c r="G109" s="78"/>
      <c r="H109" s="79"/>
      <c r="I109" s="79"/>
      <c r="J109" s="79"/>
      <c r="K109" s="79"/>
      <c r="L109" s="79"/>
      <c r="M109" s="79"/>
      <c r="N109" s="79"/>
      <c r="O109" s="79"/>
      <c r="P109" s="79"/>
    </row>
    <row r="110" ht="15.75" customHeight="1">
      <c r="E110" s="77"/>
      <c r="F110" s="77"/>
      <c r="G110" s="78"/>
      <c r="H110" s="79"/>
      <c r="I110" s="79"/>
      <c r="J110" s="79"/>
      <c r="K110" s="79"/>
      <c r="L110" s="79"/>
      <c r="M110" s="79"/>
      <c r="N110" s="79"/>
      <c r="O110" s="79"/>
      <c r="P110" s="79"/>
    </row>
    <row r="111" ht="15.75" customHeight="1">
      <c r="E111" s="77"/>
      <c r="F111" s="77"/>
      <c r="G111" s="78"/>
      <c r="H111" s="79"/>
      <c r="I111" s="79"/>
      <c r="J111" s="79"/>
      <c r="K111" s="79"/>
      <c r="L111" s="79"/>
      <c r="M111" s="79"/>
      <c r="N111" s="79"/>
      <c r="O111" s="79"/>
      <c r="P111" s="79"/>
    </row>
    <row r="112" ht="15.75" customHeight="1">
      <c r="E112" s="77"/>
      <c r="F112" s="77"/>
      <c r="G112" s="78"/>
      <c r="H112" s="79"/>
      <c r="I112" s="79"/>
      <c r="J112" s="79"/>
      <c r="K112" s="79"/>
      <c r="L112" s="79"/>
      <c r="M112" s="79"/>
      <c r="N112" s="79"/>
      <c r="O112" s="79"/>
      <c r="P112" s="79"/>
    </row>
    <row r="113" ht="15.75" customHeight="1">
      <c r="E113" s="77"/>
      <c r="F113" s="77"/>
      <c r="G113" s="78"/>
      <c r="H113" s="79"/>
      <c r="I113" s="79"/>
      <c r="J113" s="79"/>
      <c r="K113" s="79"/>
      <c r="L113" s="79"/>
      <c r="M113" s="79"/>
      <c r="N113" s="79"/>
      <c r="O113" s="79"/>
      <c r="P113" s="79"/>
    </row>
    <row r="114" ht="15.75" customHeight="1">
      <c r="E114" s="77"/>
      <c r="F114" s="77"/>
      <c r="G114" s="78"/>
      <c r="H114" s="79"/>
      <c r="I114" s="79"/>
      <c r="J114" s="79"/>
      <c r="K114" s="79"/>
      <c r="L114" s="79"/>
      <c r="M114" s="79"/>
      <c r="N114" s="79"/>
      <c r="O114" s="79"/>
      <c r="P114" s="79"/>
    </row>
    <row r="115" ht="15.75" customHeight="1">
      <c r="E115" s="77"/>
      <c r="F115" s="77"/>
      <c r="G115" s="78"/>
      <c r="H115" s="79"/>
      <c r="I115" s="79"/>
      <c r="J115" s="79"/>
      <c r="K115" s="79"/>
      <c r="L115" s="79"/>
      <c r="M115" s="79"/>
      <c r="N115" s="79"/>
      <c r="O115" s="79"/>
      <c r="P115" s="79"/>
    </row>
    <row r="116" ht="15.75" customHeight="1">
      <c r="E116" s="77"/>
      <c r="F116" s="77"/>
      <c r="G116" s="78"/>
      <c r="H116" s="79"/>
      <c r="I116" s="79"/>
      <c r="J116" s="79"/>
      <c r="K116" s="79"/>
      <c r="L116" s="79"/>
      <c r="M116" s="79"/>
      <c r="N116" s="79"/>
      <c r="O116" s="79"/>
      <c r="P116" s="79"/>
    </row>
    <row r="117" ht="15.75" customHeight="1">
      <c r="E117" s="77"/>
      <c r="F117" s="77"/>
      <c r="G117" s="78"/>
      <c r="H117" s="79"/>
      <c r="I117" s="79"/>
      <c r="J117" s="79"/>
      <c r="K117" s="79"/>
      <c r="L117" s="79"/>
      <c r="M117" s="79"/>
      <c r="N117" s="79"/>
      <c r="O117" s="79"/>
      <c r="P117" s="79"/>
    </row>
    <row r="118" ht="15.75" customHeight="1">
      <c r="E118" s="77"/>
      <c r="F118" s="77"/>
      <c r="G118" s="78"/>
      <c r="H118" s="79"/>
      <c r="I118" s="79"/>
      <c r="J118" s="79"/>
      <c r="K118" s="79"/>
      <c r="L118" s="79"/>
      <c r="M118" s="79"/>
      <c r="N118" s="79"/>
      <c r="O118" s="79"/>
      <c r="P118" s="79"/>
    </row>
    <row r="119" ht="15.75" customHeight="1">
      <c r="E119" s="77"/>
      <c r="F119" s="77"/>
      <c r="G119" s="78"/>
      <c r="H119" s="79"/>
      <c r="I119" s="79"/>
      <c r="J119" s="79"/>
      <c r="K119" s="79"/>
      <c r="L119" s="79"/>
      <c r="M119" s="79"/>
      <c r="N119" s="79"/>
      <c r="O119" s="79"/>
      <c r="P119" s="79"/>
    </row>
    <row r="120" ht="15.75" customHeight="1">
      <c r="E120" s="77"/>
      <c r="F120" s="77"/>
      <c r="G120" s="78"/>
      <c r="H120" s="79"/>
      <c r="I120" s="79"/>
      <c r="J120" s="79"/>
      <c r="K120" s="79"/>
      <c r="L120" s="79"/>
      <c r="M120" s="79"/>
      <c r="N120" s="79"/>
      <c r="O120" s="79"/>
      <c r="P120" s="79"/>
    </row>
    <row r="121" ht="15.75" customHeight="1">
      <c r="E121" s="77"/>
      <c r="F121" s="77"/>
      <c r="G121" s="78"/>
      <c r="H121" s="79"/>
      <c r="I121" s="79"/>
      <c r="J121" s="79"/>
      <c r="K121" s="79"/>
      <c r="L121" s="79"/>
      <c r="M121" s="79"/>
      <c r="N121" s="79"/>
      <c r="O121" s="79"/>
      <c r="P121" s="79"/>
    </row>
    <row r="122" ht="15.75" customHeight="1">
      <c r="E122" s="77"/>
      <c r="F122" s="77"/>
      <c r="G122" s="78"/>
      <c r="H122" s="79"/>
      <c r="I122" s="79"/>
      <c r="J122" s="79"/>
      <c r="K122" s="79"/>
      <c r="L122" s="79"/>
      <c r="M122" s="79"/>
      <c r="N122" s="79"/>
      <c r="O122" s="79"/>
      <c r="P122" s="79"/>
    </row>
    <row r="123" ht="15.75" customHeight="1">
      <c r="E123" s="77"/>
      <c r="F123" s="77"/>
      <c r="G123" s="78"/>
      <c r="H123" s="79"/>
      <c r="I123" s="79"/>
      <c r="J123" s="79"/>
      <c r="K123" s="79"/>
      <c r="L123" s="79"/>
      <c r="M123" s="79"/>
      <c r="N123" s="79"/>
      <c r="O123" s="79"/>
      <c r="P123" s="79"/>
    </row>
    <row r="124" ht="15.75" customHeight="1">
      <c r="E124" s="77"/>
      <c r="F124" s="77"/>
      <c r="G124" s="78"/>
      <c r="H124" s="79"/>
      <c r="I124" s="79"/>
      <c r="J124" s="79"/>
      <c r="K124" s="79"/>
      <c r="L124" s="79"/>
      <c r="M124" s="79"/>
      <c r="N124" s="79"/>
      <c r="O124" s="79"/>
      <c r="P124" s="79"/>
    </row>
    <row r="125" ht="15.75" customHeight="1">
      <c r="E125" s="77"/>
      <c r="F125" s="77"/>
      <c r="G125" s="78"/>
      <c r="H125" s="79"/>
      <c r="I125" s="79"/>
      <c r="J125" s="79"/>
      <c r="K125" s="79"/>
      <c r="L125" s="79"/>
      <c r="M125" s="79"/>
      <c r="N125" s="79"/>
      <c r="O125" s="79"/>
      <c r="P125" s="79"/>
    </row>
    <row r="126" ht="15.75" customHeight="1">
      <c r="E126" s="77"/>
      <c r="F126" s="77"/>
      <c r="G126" s="78"/>
      <c r="H126" s="79"/>
      <c r="I126" s="79"/>
      <c r="J126" s="79"/>
      <c r="K126" s="79"/>
      <c r="L126" s="79"/>
      <c r="M126" s="79"/>
      <c r="N126" s="79"/>
      <c r="O126" s="79"/>
      <c r="P126" s="79"/>
    </row>
    <row r="127" ht="15.75" customHeight="1">
      <c r="E127" s="77"/>
      <c r="F127" s="77"/>
      <c r="G127" s="78"/>
      <c r="H127" s="79"/>
      <c r="I127" s="79"/>
      <c r="J127" s="79"/>
      <c r="K127" s="79"/>
      <c r="L127" s="79"/>
      <c r="M127" s="79"/>
      <c r="N127" s="79"/>
      <c r="O127" s="79"/>
      <c r="P127" s="79"/>
    </row>
    <row r="128" ht="15.75" customHeight="1">
      <c r="E128" s="77"/>
      <c r="F128" s="77"/>
      <c r="G128" s="78"/>
      <c r="H128" s="79"/>
      <c r="I128" s="79"/>
      <c r="J128" s="79"/>
      <c r="K128" s="79"/>
      <c r="L128" s="79"/>
      <c r="M128" s="79"/>
      <c r="N128" s="79"/>
      <c r="O128" s="79"/>
      <c r="P128" s="79"/>
    </row>
    <row r="129" ht="15.75" customHeight="1">
      <c r="E129" s="77"/>
      <c r="F129" s="77"/>
      <c r="G129" s="78"/>
      <c r="H129" s="79"/>
      <c r="I129" s="79"/>
      <c r="J129" s="79"/>
      <c r="K129" s="79"/>
      <c r="L129" s="79"/>
      <c r="M129" s="79"/>
      <c r="N129" s="79"/>
      <c r="O129" s="79"/>
      <c r="P129" s="79"/>
    </row>
    <row r="130" ht="15.75" customHeight="1">
      <c r="E130" s="77"/>
      <c r="F130" s="77"/>
      <c r="G130" s="78"/>
      <c r="H130" s="79"/>
      <c r="I130" s="79"/>
      <c r="J130" s="79"/>
      <c r="K130" s="79"/>
      <c r="L130" s="79"/>
      <c r="M130" s="79"/>
      <c r="N130" s="79"/>
      <c r="O130" s="79"/>
      <c r="P130" s="79"/>
    </row>
    <row r="131" ht="15.75" customHeight="1">
      <c r="E131" s="77"/>
      <c r="F131" s="77"/>
      <c r="G131" s="78"/>
      <c r="H131" s="79"/>
      <c r="I131" s="79"/>
      <c r="J131" s="79"/>
      <c r="K131" s="79"/>
      <c r="L131" s="79"/>
      <c r="M131" s="79"/>
      <c r="N131" s="79"/>
      <c r="O131" s="79"/>
      <c r="P131" s="79"/>
    </row>
    <row r="132" ht="15.75" customHeight="1">
      <c r="E132" s="77"/>
      <c r="F132" s="77"/>
      <c r="G132" s="78"/>
      <c r="H132" s="79"/>
      <c r="I132" s="79"/>
      <c r="J132" s="79"/>
      <c r="K132" s="79"/>
      <c r="L132" s="79"/>
      <c r="M132" s="79"/>
      <c r="N132" s="79"/>
      <c r="O132" s="79"/>
      <c r="P132" s="79"/>
    </row>
    <row r="133" ht="15.75" customHeight="1">
      <c r="E133" s="77"/>
      <c r="F133" s="77"/>
      <c r="G133" s="78"/>
      <c r="H133" s="79"/>
      <c r="I133" s="79"/>
      <c r="J133" s="79"/>
      <c r="K133" s="79"/>
      <c r="L133" s="79"/>
      <c r="M133" s="79"/>
      <c r="N133" s="79"/>
      <c r="O133" s="79"/>
      <c r="P133" s="79"/>
    </row>
    <row r="134" ht="15.75" customHeight="1">
      <c r="E134" s="77"/>
      <c r="F134" s="77"/>
      <c r="G134" s="78"/>
      <c r="H134" s="79"/>
      <c r="I134" s="79"/>
      <c r="J134" s="79"/>
      <c r="K134" s="79"/>
      <c r="L134" s="79"/>
      <c r="M134" s="79"/>
      <c r="N134" s="79"/>
      <c r="O134" s="79"/>
      <c r="P134" s="79"/>
    </row>
    <row r="135" ht="15.75" customHeight="1">
      <c r="A135" s="77"/>
      <c r="B135" s="77"/>
      <c r="C135" s="77"/>
      <c r="D135" s="77"/>
      <c r="E135" s="77"/>
      <c r="F135" s="77"/>
      <c r="G135" s="78"/>
      <c r="H135" s="79"/>
      <c r="I135" s="79"/>
      <c r="J135" s="79"/>
      <c r="K135" s="79"/>
      <c r="L135" s="79"/>
      <c r="M135" s="79"/>
      <c r="N135" s="79"/>
      <c r="O135" s="79"/>
      <c r="P135" s="79"/>
    </row>
    <row r="136" ht="15.75" customHeight="1">
      <c r="A136" s="77"/>
      <c r="B136" s="77"/>
      <c r="C136" s="77"/>
      <c r="D136" s="77"/>
      <c r="E136" s="77"/>
      <c r="F136" s="77"/>
      <c r="G136" s="78"/>
      <c r="H136" s="79"/>
      <c r="I136" s="79"/>
      <c r="J136" s="79"/>
      <c r="K136" s="79"/>
      <c r="L136" s="79"/>
      <c r="M136" s="79"/>
      <c r="N136" s="79"/>
      <c r="O136" s="79"/>
      <c r="P136" s="79"/>
    </row>
    <row r="137" ht="15.75" customHeight="1">
      <c r="A137" s="77"/>
      <c r="B137" s="77"/>
      <c r="C137" s="77"/>
      <c r="D137" s="77"/>
      <c r="E137" s="77"/>
      <c r="F137" s="77"/>
      <c r="G137" s="78"/>
      <c r="H137" s="79"/>
      <c r="I137" s="79"/>
      <c r="J137" s="79"/>
      <c r="K137" s="79"/>
      <c r="L137" s="79"/>
      <c r="M137" s="79"/>
      <c r="N137" s="79"/>
      <c r="O137" s="79"/>
      <c r="P137" s="79"/>
    </row>
    <row r="138" ht="15.75" customHeight="1">
      <c r="A138" s="77"/>
      <c r="B138" s="77"/>
      <c r="C138" s="77"/>
      <c r="D138" s="77"/>
      <c r="E138" s="77"/>
      <c r="F138" s="77"/>
      <c r="G138" s="78"/>
      <c r="H138" s="79"/>
      <c r="I138" s="79"/>
      <c r="J138" s="79"/>
      <c r="K138" s="79"/>
      <c r="L138" s="79"/>
      <c r="M138" s="79"/>
      <c r="N138" s="79"/>
      <c r="O138" s="79"/>
      <c r="P138" s="79"/>
    </row>
    <row r="139" ht="15.75" customHeight="1">
      <c r="A139" s="77"/>
      <c r="B139" s="77"/>
      <c r="C139" s="77"/>
      <c r="D139" s="77"/>
      <c r="E139" s="77"/>
      <c r="F139" s="77"/>
      <c r="G139" s="78"/>
      <c r="H139" s="79"/>
      <c r="I139" s="79"/>
      <c r="J139" s="79"/>
      <c r="K139" s="79"/>
      <c r="L139" s="79"/>
      <c r="M139" s="79"/>
      <c r="N139" s="79"/>
      <c r="O139" s="79"/>
      <c r="P139" s="79"/>
    </row>
    <row r="140" ht="15.75" customHeight="1">
      <c r="A140" s="77"/>
      <c r="B140" s="77"/>
      <c r="C140" s="77"/>
      <c r="D140" s="77"/>
      <c r="E140" s="77"/>
      <c r="F140" s="77"/>
      <c r="G140" s="78"/>
      <c r="H140" s="79"/>
      <c r="I140" s="79"/>
      <c r="J140" s="79"/>
      <c r="K140" s="79"/>
      <c r="L140" s="79"/>
      <c r="M140" s="79"/>
      <c r="N140" s="79"/>
      <c r="O140" s="79"/>
      <c r="P140" s="79"/>
    </row>
    <row r="141" ht="15.75" customHeight="1">
      <c r="A141" s="77"/>
      <c r="B141" s="77"/>
      <c r="C141" s="77"/>
      <c r="D141" s="77"/>
      <c r="E141" s="77"/>
      <c r="F141" s="77"/>
      <c r="G141" s="78"/>
      <c r="H141" s="79"/>
      <c r="I141" s="79"/>
      <c r="J141" s="79"/>
      <c r="K141" s="79"/>
      <c r="L141" s="79"/>
      <c r="M141" s="79"/>
      <c r="N141" s="79"/>
      <c r="O141" s="79"/>
      <c r="P141" s="79"/>
    </row>
    <row r="142" ht="15.75" customHeight="1">
      <c r="A142" s="77"/>
      <c r="B142" s="77"/>
      <c r="C142" s="77"/>
      <c r="D142" s="77"/>
      <c r="E142" s="77"/>
      <c r="F142" s="77"/>
      <c r="G142" s="78"/>
      <c r="H142" s="79"/>
      <c r="I142" s="79"/>
      <c r="J142" s="79"/>
      <c r="K142" s="79"/>
      <c r="L142" s="79"/>
      <c r="M142" s="79"/>
      <c r="N142" s="79"/>
      <c r="O142" s="79"/>
      <c r="P142" s="79"/>
    </row>
    <row r="143" ht="15.75" customHeight="1">
      <c r="A143" s="77"/>
      <c r="B143" s="77"/>
      <c r="C143" s="77"/>
      <c r="D143" s="77"/>
      <c r="E143" s="77"/>
      <c r="F143" s="77"/>
      <c r="G143" s="78"/>
      <c r="H143" s="79"/>
      <c r="I143" s="79"/>
      <c r="J143" s="79"/>
      <c r="K143" s="79"/>
      <c r="L143" s="79"/>
      <c r="M143" s="79"/>
      <c r="N143" s="79"/>
      <c r="O143" s="79"/>
      <c r="P143" s="79"/>
    </row>
    <row r="144" ht="15.75" customHeight="1">
      <c r="A144" s="77"/>
      <c r="B144" s="77"/>
      <c r="C144" s="77"/>
      <c r="D144" s="77"/>
      <c r="E144" s="77"/>
      <c r="F144" s="77"/>
      <c r="G144" s="78"/>
      <c r="H144" s="79"/>
      <c r="I144" s="79"/>
      <c r="J144" s="79"/>
      <c r="K144" s="79"/>
      <c r="L144" s="79"/>
      <c r="M144" s="79"/>
      <c r="N144" s="79"/>
      <c r="O144" s="79"/>
      <c r="P144" s="79"/>
    </row>
    <row r="145" ht="15.75" customHeight="1">
      <c r="A145" s="77"/>
      <c r="B145" s="77"/>
      <c r="C145" s="77"/>
      <c r="D145" s="77"/>
      <c r="E145" s="77"/>
      <c r="F145" s="77"/>
      <c r="G145" s="78"/>
      <c r="H145" s="79"/>
      <c r="I145" s="79"/>
      <c r="J145" s="79"/>
      <c r="K145" s="79"/>
      <c r="L145" s="79"/>
      <c r="M145" s="79"/>
      <c r="N145" s="79"/>
      <c r="O145" s="79"/>
      <c r="P145" s="79"/>
    </row>
    <row r="146" ht="15.75" customHeight="1">
      <c r="A146" s="77"/>
      <c r="B146" s="77"/>
      <c r="C146" s="77"/>
      <c r="D146" s="77"/>
      <c r="E146" s="77"/>
      <c r="F146" s="77"/>
      <c r="G146" s="78"/>
      <c r="H146" s="79"/>
      <c r="I146" s="79"/>
      <c r="J146" s="79"/>
      <c r="K146" s="79"/>
      <c r="L146" s="79"/>
      <c r="M146" s="79"/>
      <c r="N146" s="79"/>
      <c r="O146" s="79"/>
      <c r="P146" s="79"/>
    </row>
    <row r="147" ht="15.75" customHeight="1">
      <c r="A147" s="77"/>
      <c r="B147" s="77"/>
      <c r="C147" s="77"/>
      <c r="D147" s="77"/>
      <c r="E147" s="77"/>
      <c r="F147" s="77"/>
      <c r="G147" s="78"/>
      <c r="H147" s="79"/>
      <c r="I147" s="79"/>
      <c r="J147" s="79"/>
      <c r="K147" s="79"/>
      <c r="L147" s="79"/>
      <c r="M147" s="79"/>
      <c r="N147" s="79"/>
      <c r="O147" s="79"/>
      <c r="P147" s="79"/>
    </row>
    <row r="148" ht="15.75" customHeight="1">
      <c r="A148" s="77"/>
      <c r="B148" s="77"/>
      <c r="C148" s="77"/>
      <c r="D148" s="77"/>
      <c r="E148" s="77"/>
      <c r="F148" s="77"/>
      <c r="G148" s="78"/>
      <c r="H148" s="79"/>
      <c r="I148" s="79"/>
      <c r="J148" s="79"/>
      <c r="K148" s="79"/>
      <c r="L148" s="79"/>
      <c r="M148" s="79"/>
      <c r="N148" s="79"/>
      <c r="O148" s="79"/>
      <c r="P148" s="79"/>
    </row>
    <row r="149" ht="15.75" customHeight="1">
      <c r="A149" s="77"/>
      <c r="B149" s="77"/>
      <c r="C149" s="77"/>
      <c r="D149" s="77"/>
      <c r="E149" s="77"/>
      <c r="F149" s="77"/>
      <c r="G149" s="78"/>
      <c r="H149" s="79"/>
      <c r="I149" s="79"/>
      <c r="J149" s="79"/>
      <c r="K149" s="79"/>
      <c r="L149" s="79"/>
      <c r="M149" s="79"/>
      <c r="N149" s="79"/>
      <c r="O149" s="79"/>
      <c r="P149" s="79"/>
    </row>
    <row r="150" ht="15.75" customHeight="1" outlineLevel="1"/>
    <row r="151" ht="15.75" customHeight="1" outlineLevel="1"/>
    <row r="152" ht="15.75" customHeight="1" outlineLevel="1"/>
    <row r="153" ht="15.75" customHeight="1" outlineLevel="1"/>
    <row r="154" ht="15.75" customHeight="1" outlineLevel="1"/>
    <row r="155" ht="15.75" customHeight="1" outlineLevel="1"/>
    <row r="156" ht="15.75" customHeight="1" outlineLevel="1"/>
    <row r="157" ht="15.75" customHeight="1" outlineLevel="1"/>
    <row r="158" ht="15.75" customHeight="1"/>
    <row r="159" ht="15.75" customHeight="1" outlineLevel="1"/>
    <row r="160" ht="15.75" customHeight="1" outlineLevel="1"/>
    <row r="161" ht="15.75" customHeight="1" outlineLevel="1"/>
    <row r="162" ht="15.75" customHeight="1" outlineLevel="1"/>
    <row r="163" ht="15.75" customHeight="1" outlineLevel="1"/>
    <row r="164" ht="15.75" customHeight="1" outlineLevel="1"/>
    <row r="165" ht="15.75" customHeight="1" outlineLevel="1"/>
    <row r="166" ht="15.75" customHeight="1" outlineLevel="1"/>
    <row r="167" ht="15.75" customHeight="1" outlineLevel="1"/>
    <row r="168" ht="15.75" customHeight="1" outlineLevel="1"/>
    <row r="169" ht="15.75" customHeight="1" outlineLevel="1"/>
    <row r="170" ht="15.75" customHeight="1" outlineLevel="1"/>
    <row r="171" ht="15.75" customHeight="1" outlineLevel="1"/>
    <row r="172" ht="15.75" customHeight="1" outlineLevel="1"/>
    <row r="173" ht="15.75" customHeight="1" outlineLevel="1"/>
    <row r="174" ht="15.75" customHeight="1" outlineLevel="1"/>
    <row r="175" ht="15.75" customHeight="1" outlineLevel="1"/>
    <row r="176" ht="15.75" customHeight="1" outlineLevel="1"/>
    <row r="177" ht="15.75" customHeight="1" outlineLevel="1"/>
    <row r="178" ht="15.75" customHeight="1" outlineLevel="1"/>
    <row r="179" ht="15.75" customHeight="1" outlineLevel="1"/>
    <row r="180" ht="15.75" customHeight="1" outlineLevel="1"/>
    <row r="181" ht="15.75" customHeight="1" outlineLevel="1"/>
    <row r="182" ht="15.75" customHeight="1" outlineLevel="1"/>
    <row r="183" ht="15.75" customHeight="1" outlineLevel="1"/>
    <row r="184" ht="15.75" customHeight="1" outlineLevel="1"/>
    <row r="185" ht="15.75" customHeight="1" outlineLevel="1"/>
    <row r="186" ht="15.75" customHeight="1" outlineLevel="1"/>
    <row r="187" ht="15.75" customHeight="1" outlineLevel="1"/>
    <row r="188" ht="15.75" customHeight="1" outlineLevel="1"/>
    <row r="189" ht="15.75" customHeight="1" outlineLevel="1"/>
    <row r="190" ht="15.75" customHeight="1" outlineLevel="1"/>
    <row r="191" ht="15.75" customHeight="1" outlineLevel="1"/>
    <row r="192" ht="15.75" customHeight="1" outlineLevel="1"/>
    <row r="193" ht="15.75" customHeight="1" outlineLevel="1"/>
    <row r="194" ht="15.75" customHeight="1" outlineLevel="1"/>
    <row r="195" ht="15.75" customHeight="1" outlineLevel="1"/>
    <row r="196" ht="15.75" customHeight="1" outlineLevel="1"/>
    <row r="197" ht="15.75" customHeight="1" outlineLevel="1"/>
    <row r="198" ht="15.75" customHeight="1"/>
    <row r="199" ht="15.75" customHeight="1" outlineLevel="1"/>
    <row r="200" ht="15.75" customHeight="1" outlineLevel="1"/>
    <row r="201" ht="15.75" customHeight="1" outlineLevel="1"/>
    <row r="202" ht="15.75" customHeight="1" outlineLevel="1"/>
    <row r="203" ht="15.75" customHeight="1" outlineLevel="1"/>
    <row r="204" ht="15.75" customHeight="1" outlineLevel="1"/>
    <row r="205" ht="15.75" customHeight="1" outlineLevel="1"/>
    <row r="206" ht="15.75" customHeight="1" outlineLevel="1"/>
    <row r="207" ht="15.75" customHeight="1" outlineLevel="1"/>
    <row r="208" ht="15.75" customHeight="1" outlineLevel="1"/>
    <row r="209" ht="15.75" customHeight="1" outlineLevel="1"/>
    <row r="210" ht="15.75" customHeight="1" outlineLevel="1"/>
    <row r="211" ht="15.75" customHeight="1" outlineLevel="1"/>
    <row r="212" ht="15.75" customHeight="1" outlineLevel="1"/>
    <row r="213" ht="15.75" customHeight="1" outlineLevel="1"/>
    <row r="214" ht="15.75" customHeight="1" outlineLevel="1"/>
    <row r="215" ht="15.75" customHeight="1" outlineLevel="1"/>
    <row r="216" ht="15.75" customHeight="1" outlineLevel="1"/>
    <row r="217" ht="15.75" customHeight="1" outlineLevel="1"/>
    <row r="218" ht="15.75" customHeight="1" outlineLevel="1"/>
    <row r="219" ht="15.75" customHeight="1" outlineLevel="1"/>
    <row r="220" ht="15.75" customHeight="1" outlineLevel="1"/>
    <row r="221" ht="15.75" customHeight="1" outlineLevel="1"/>
    <row r="222" ht="15.75" customHeight="1" outlineLevel="1"/>
    <row r="223" ht="15.75" customHeight="1" outlineLevel="1"/>
    <row r="224" ht="15.75" customHeight="1" outlineLevel="1"/>
    <row r="225" ht="15.75" customHeight="1" outlineLevel="1"/>
    <row r="226" ht="15.75" customHeight="1" outlineLevel="1"/>
    <row r="227" ht="15.75" customHeight="1" outlineLevel="1"/>
    <row r="228" ht="15.75" customHeight="1" outlineLevel="1"/>
    <row r="229" ht="15.75" customHeight="1" outlineLevel="1"/>
    <row r="230" ht="15.75" customHeight="1" outlineLevel="1"/>
    <row r="231" ht="15.75" customHeight="1" outlineLevel="1"/>
    <row r="232" ht="15.75" customHeight="1" outlineLevel="1"/>
    <row r="233" ht="15.75" customHeight="1" outlineLevel="1"/>
    <row r="234" ht="15.75" customHeight="1" outlineLevel="1"/>
    <row r="235" ht="15.75" customHeight="1" outlineLevel="1"/>
    <row r="236" ht="15.75" customHeight="1" outlineLevel="1"/>
    <row r="237" ht="15.75" customHeight="1" outlineLevel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</sheetData>
  <mergeCells count="3">
    <mergeCell ref="A1:D1"/>
    <mergeCell ref="F31:I31"/>
    <mergeCell ref="A56:E5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0" width="10.25"/>
    <col customWidth="1" min="11" max="11" width="9.63"/>
    <col customWidth="1" min="12" max="14" width="10.25"/>
    <col customWidth="1" min="16" max="16" width="9.63"/>
    <col customWidth="1" min="17" max="19" width="10.5"/>
  </cols>
  <sheetData>
    <row r="1" ht="24.75" customHeight="1">
      <c r="A1" s="90" t="s">
        <v>365</v>
      </c>
      <c r="D1" s="91"/>
      <c r="E1" s="91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ht="19.5" customHeight="1">
      <c r="A2" s="1" t="s">
        <v>366</v>
      </c>
      <c r="B2" s="5" t="s">
        <v>367</v>
      </c>
      <c r="C2" s="6" t="s">
        <v>368</v>
      </c>
      <c r="D2" s="63"/>
      <c r="E2" s="63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ht="15.75" customHeight="1">
      <c r="A3" s="83">
        <v>1.0</v>
      </c>
      <c r="B3" s="5">
        <v>0.0</v>
      </c>
      <c r="C3" s="32">
        <v>2000.0</v>
      </c>
      <c r="D3" s="88"/>
      <c r="E3" s="88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 ht="15.75" customHeight="1">
      <c r="A4" s="83">
        <v>100.0</v>
      </c>
      <c r="B4" s="5">
        <v>0.0</v>
      </c>
      <c r="C4" s="32">
        <v>2000.0</v>
      </c>
      <c r="D4" s="88"/>
      <c r="E4" s="8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ht="15.75" customHeight="1">
      <c r="A5" s="83">
        <v>300.0</v>
      </c>
      <c r="B5" s="5">
        <v>0.0</v>
      </c>
      <c r="C5" s="32">
        <v>4000.0</v>
      </c>
      <c r="D5" s="88"/>
      <c r="E5" s="88"/>
      <c r="F5" s="85"/>
      <c r="G5" s="85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ht="15.75" customHeight="1">
      <c r="A6" s="83">
        <v>500.0</v>
      </c>
      <c r="B6" s="5">
        <v>0.0</v>
      </c>
      <c r="C6" s="32">
        <v>6000.0</v>
      </c>
      <c r="D6" s="88"/>
      <c r="E6" s="88"/>
      <c r="F6" s="87"/>
      <c r="G6" s="74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ht="15.75" customHeight="1">
      <c r="A7" s="83">
        <v>1000.0</v>
      </c>
      <c r="B7" s="5">
        <v>0.0</v>
      </c>
      <c r="C7" s="32">
        <v>11000.0</v>
      </c>
      <c r="D7" s="88"/>
      <c r="E7" s="88"/>
      <c r="F7" s="87"/>
      <c r="G7" s="74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 ht="15.75" customHeight="1">
      <c r="A8" s="83">
        <v>2000.0</v>
      </c>
      <c r="B8" s="5">
        <v>0.0</v>
      </c>
      <c r="C8" s="32">
        <v>21000.0</v>
      </c>
      <c r="D8" s="88"/>
      <c r="E8" s="88"/>
      <c r="F8" s="87"/>
      <c r="G8" s="74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9" ht="15.75" customHeight="1">
      <c r="A9" s="83">
        <v>3000.0</v>
      </c>
      <c r="B9" s="5">
        <v>0.0</v>
      </c>
      <c r="C9" s="32">
        <v>31000.0</v>
      </c>
      <c r="D9" s="88"/>
      <c r="E9" s="88"/>
      <c r="F9" s="87"/>
      <c r="G9" s="74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</row>
    <row r="10" ht="15.75" customHeight="1">
      <c r="A10" s="83">
        <v>4000.0</v>
      </c>
      <c r="B10" s="5">
        <v>0.0</v>
      </c>
      <c r="C10" s="32">
        <v>41000.0</v>
      </c>
      <c r="D10" s="88"/>
      <c r="E10" s="88"/>
      <c r="F10" s="87"/>
      <c r="G10" s="74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</row>
    <row r="11" ht="15.75" customHeight="1">
      <c r="A11" s="83">
        <v>5000.0</v>
      </c>
      <c r="B11" s="5">
        <v>0.0</v>
      </c>
      <c r="C11" s="32">
        <v>51000.0</v>
      </c>
      <c r="D11" s="88"/>
      <c r="E11" s="88"/>
      <c r="F11" s="87"/>
      <c r="G11" s="74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</row>
    <row r="12" ht="15.75" customHeight="1">
      <c r="A12" s="92" t="s">
        <v>369</v>
      </c>
      <c r="D12" s="88"/>
      <c r="E12" s="88"/>
      <c r="F12" s="87"/>
      <c r="G12" s="74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</row>
    <row r="13" ht="15.75" customHeight="1">
      <c r="D13" s="92"/>
      <c r="E13" s="92"/>
      <c r="F13" s="87"/>
      <c r="G13" s="74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ht="15.75" customHeight="1">
      <c r="B14" s="77"/>
      <c r="C14" s="86"/>
      <c r="D14" s="87"/>
      <c r="E14" s="87"/>
      <c r="F14" s="87"/>
      <c r="G14" s="74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</row>
    <row r="15" ht="21.0" customHeight="1">
      <c r="A15" s="90" t="s">
        <v>370</v>
      </c>
      <c r="E15" s="77"/>
      <c r="F15" s="90" t="s">
        <v>371</v>
      </c>
      <c r="J15" s="79"/>
      <c r="T15" s="79"/>
      <c r="U15" s="79"/>
      <c r="V15" s="79"/>
      <c r="W15" s="79"/>
      <c r="X15" s="79"/>
      <c r="Y15" s="79"/>
      <c r="Z15" s="79"/>
    </row>
    <row r="16" ht="15.75" customHeight="1">
      <c r="A16" s="1" t="s">
        <v>366</v>
      </c>
      <c r="B16" s="64" t="s">
        <v>372</v>
      </c>
      <c r="C16" s="63" t="s">
        <v>373</v>
      </c>
      <c r="D16" s="63" t="s">
        <v>374</v>
      </c>
      <c r="E16" s="77"/>
      <c r="F16" s="1" t="s">
        <v>366</v>
      </c>
      <c r="G16" s="64" t="s">
        <v>372</v>
      </c>
      <c r="H16" s="63" t="s">
        <v>373</v>
      </c>
      <c r="I16" s="63" t="s">
        <v>374</v>
      </c>
      <c r="J16" s="79"/>
      <c r="T16" s="79"/>
      <c r="U16" s="79"/>
      <c r="V16" s="79"/>
      <c r="W16" s="79"/>
      <c r="X16" s="79"/>
      <c r="Y16" s="79"/>
      <c r="Z16" s="79"/>
    </row>
    <row r="17" ht="15.75" customHeight="1">
      <c r="A17" s="83">
        <v>1.0</v>
      </c>
      <c r="B17" s="88">
        <v>5000.0</v>
      </c>
      <c r="C17" s="88">
        <v>6000.0</v>
      </c>
      <c r="D17" s="88">
        <v>7000.0</v>
      </c>
      <c r="E17" s="77"/>
      <c r="F17" s="83">
        <v>1.0</v>
      </c>
      <c r="G17" s="88">
        <v>5000.0</v>
      </c>
      <c r="H17" s="88">
        <v>6000.0</v>
      </c>
      <c r="I17" s="88">
        <v>7000.0</v>
      </c>
      <c r="J17" s="79"/>
      <c r="T17" s="79"/>
      <c r="U17" s="79"/>
      <c r="V17" s="79"/>
      <c r="W17" s="79"/>
      <c r="X17" s="79"/>
      <c r="Y17" s="79"/>
      <c r="Z17" s="79"/>
    </row>
    <row r="18" ht="15.75" customHeight="1">
      <c r="A18" s="93">
        <v>50.0</v>
      </c>
      <c r="B18" s="88">
        <v>5000.0</v>
      </c>
      <c r="C18" s="88">
        <v>6000.0</v>
      </c>
      <c r="D18" s="88">
        <v>7000.0</v>
      </c>
      <c r="E18" s="77"/>
      <c r="F18" s="93">
        <v>50.0</v>
      </c>
      <c r="G18" s="88">
        <v>5000.0</v>
      </c>
      <c r="H18" s="88">
        <v>6000.0</v>
      </c>
      <c r="I18" s="88">
        <v>7000.0</v>
      </c>
      <c r="J18" s="79"/>
      <c r="T18" s="79"/>
      <c r="U18" s="79"/>
      <c r="V18" s="79"/>
      <c r="W18" s="79"/>
      <c r="X18" s="79"/>
      <c r="Y18" s="79"/>
      <c r="Z18" s="79"/>
    </row>
    <row r="19" ht="15.75" customHeight="1">
      <c r="A19" s="94">
        <v>100.0</v>
      </c>
      <c r="B19" s="88">
        <v>10000.0</v>
      </c>
      <c r="C19" s="88">
        <v>12000.0</v>
      </c>
      <c r="D19" s="88">
        <v>14000.0</v>
      </c>
      <c r="E19" s="77"/>
      <c r="F19" s="94">
        <v>100.0</v>
      </c>
      <c r="G19" s="88">
        <v>10000.0</v>
      </c>
      <c r="H19" s="88">
        <v>12000.0</v>
      </c>
      <c r="I19" s="88">
        <v>14000.0</v>
      </c>
      <c r="J19" s="79"/>
      <c r="T19" s="79"/>
      <c r="U19" s="79"/>
      <c r="V19" s="79"/>
      <c r="W19" s="79"/>
      <c r="X19" s="79"/>
      <c r="Y19" s="79"/>
      <c r="Z19" s="79"/>
    </row>
    <row r="20" ht="15.75" customHeight="1">
      <c r="A20" s="94">
        <v>300.0</v>
      </c>
      <c r="B20" s="88">
        <v>15000.0</v>
      </c>
      <c r="C20" s="88">
        <v>17000.0</v>
      </c>
      <c r="D20" s="88">
        <v>19000.0</v>
      </c>
      <c r="E20" s="77"/>
      <c r="F20" s="94">
        <v>300.0</v>
      </c>
      <c r="G20" s="88">
        <v>15000.0</v>
      </c>
      <c r="H20" s="88">
        <v>17000.0</v>
      </c>
      <c r="I20" s="88">
        <v>19000.0</v>
      </c>
      <c r="J20" s="79"/>
      <c r="T20" s="79"/>
      <c r="U20" s="79"/>
      <c r="V20" s="79"/>
      <c r="W20" s="79"/>
      <c r="X20" s="79"/>
      <c r="Y20" s="79"/>
      <c r="Z20" s="79"/>
    </row>
    <row r="21" ht="15.75" customHeight="1">
      <c r="A21" s="94">
        <v>500.0</v>
      </c>
      <c r="B21" s="88">
        <v>17000.0</v>
      </c>
      <c r="C21" s="88">
        <v>19000.0</v>
      </c>
      <c r="D21" s="88">
        <v>21000.0</v>
      </c>
      <c r="E21" s="77"/>
      <c r="F21" s="94">
        <v>500.0</v>
      </c>
      <c r="G21" s="88">
        <v>17000.0</v>
      </c>
      <c r="H21" s="88">
        <v>19000.0</v>
      </c>
      <c r="I21" s="88">
        <v>21000.0</v>
      </c>
      <c r="J21" s="79"/>
      <c r="T21" s="79"/>
      <c r="U21" s="79"/>
      <c r="V21" s="79"/>
      <c r="W21" s="79"/>
      <c r="X21" s="79"/>
      <c r="Y21" s="79"/>
      <c r="Z21" s="79"/>
    </row>
    <row r="22" ht="15.75" customHeight="1">
      <c r="A22" s="94">
        <v>1000.0</v>
      </c>
      <c r="B22" s="88">
        <v>25000.0</v>
      </c>
      <c r="C22" s="88">
        <v>29000.0</v>
      </c>
      <c r="D22" s="88">
        <v>33000.0</v>
      </c>
      <c r="E22" s="77"/>
      <c r="F22" s="94">
        <v>1000.0</v>
      </c>
      <c r="G22" s="88">
        <v>25000.0</v>
      </c>
      <c r="H22" s="88">
        <v>29000.0</v>
      </c>
      <c r="I22" s="88">
        <v>33000.0</v>
      </c>
      <c r="J22" s="79"/>
      <c r="T22" s="79"/>
      <c r="U22" s="79"/>
      <c r="V22" s="79"/>
      <c r="W22" s="79"/>
      <c r="X22" s="79"/>
      <c r="Y22" s="79"/>
      <c r="Z22" s="79"/>
    </row>
    <row r="23" ht="15.75" customHeight="1">
      <c r="A23" s="83">
        <v>2000.0</v>
      </c>
      <c r="B23" s="88">
        <v>45000.0</v>
      </c>
      <c r="C23" s="88">
        <v>49000.0</v>
      </c>
      <c r="D23" s="88">
        <v>53000.0</v>
      </c>
      <c r="E23" s="77"/>
      <c r="F23" s="83">
        <v>2000.0</v>
      </c>
      <c r="G23" s="88">
        <v>45000.0</v>
      </c>
      <c r="H23" s="88">
        <v>49000.0</v>
      </c>
      <c r="I23" s="88">
        <v>53000.0</v>
      </c>
      <c r="J23" s="79"/>
      <c r="T23" s="79"/>
      <c r="U23" s="79"/>
      <c r="V23" s="79"/>
      <c r="W23" s="79"/>
      <c r="X23" s="79"/>
      <c r="Y23" s="79"/>
      <c r="Z23" s="79"/>
    </row>
    <row r="24" ht="15.75" customHeight="1">
      <c r="A24" s="83">
        <v>3000.0</v>
      </c>
      <c r="B24" s="88">
        <v>65000.0</v>
      </c>
      <c r="C24" s="88">
        <v>69000.0</v>
      </c>
      <c r="D24" s="88">
        <v>73000.0</v>
      </c>
      <c r="E24" s="77"/>
      <c r="F24" s="83">
        <v>3000.0</v>
      </c>
      <c r="G24" s="88">
        <v>65000.0</v>
      </c>
      <c r="H24" s="88">
        <v>69000.0</v>
      </c>
      <c r="I24" s="88">
        <v>73000.0</v>
      </c>
      <c r="J24" s="79"/>
      <c r="T24" s="79"/>
      <c r="U24" s="79"/>
      <c r="V24" s="79"/>
      <c r="W24" s="79"/>
      <c r="X24" s="79"/>
      <c r="Y24" s="79"/>
      <c r="Z24" s="79"/>
    </row>
    <row r="25" ht="15.75" customHeight="1">
      <c r="A25" s="83">
        <v>4000.0</v>
      </c>
      <c r="B25" s="88">
        <v>85000.0</v>
      </c>
      <c r="C25" s="88">
        <v>89000.0</v>
      </c>
      <c r="D25" s="88">
        <v>93000.0</v>
      </c>
      <c r="E25" s="77"/>
      <c r="F25" s="83">
        <v>4000.0</v>
      </c>
      <c r="G25" s="88">
        <v>85000.0</v>
      </c>
      <c r="H25" s="88">
        <v>89000.0</v>
      </c>
      <c r="I25" s="88">
        <v>93000.0</v>
      </c>
      <c r="J25" s="79"/>
      <c r="T25" s="79"/>
      <c r="U25" s="79"/>
      <c r="V25" s="79"/>
      <c r="W25" s="79"/>
      <c r="X25" s="79"/>
      <c r="Y25" s="79"/>
      <c r="Z25" s="79"/>
    </row>
    <row r="26" ht="15.75" customHeight="1">
      <c r="A26" s="83">
        <v>5000.0</v>
      </c>
      <c r="B26" s="88">
        <v>105000.0</v>
      </c>
      <c r="C26" s="88">
        <v>109000.0</v>
      </c>
      <c r="D26" s="88">
        <v>103000.0</v>
      </c>
      <c r="E26" s="77"/>
      <c r="F26" s="83">
        <v>5000.0</v>
      </c>
      <c r="G26" s="88">
        <v>105000.0</v>
      </c>
      <c r="H26" s="88">
        <v>109000.0</v>
      </c>
      <c r="I26" s="88">
        <v>103000.0</v>
      </c>
      <c r="J26" s="79"/>
      <c r="T26" s="79"/>
      <c r="U26" s="79"/>
      <c r="V26" s="79"/>
      <c r="W26" s="79"/>
      <c r="X26" s="79"/>
      <c r="Y26" s="79"/>
      <c r="Z26" s="79"/>
    </row>
    <row r="27" ht="15.75" customHeight="1">
      <c r="A27" s="92" t="s">
        <v>375</v>
      </c>
      <c r="E27" s="77"/>
      <c r="F27" s="92" t="s">
        <v>375</v>
      </c>
      <c r="J27" s="79"/>
      <c r="T27" s="79"/>
      <c r="U27" s="79"/>
      <c r="V27" s="79"/>
      <c r="W27" s="79"/>
      <c r="X27" s="79"/>
      <c r="Y27" s="79"/>
      <c r="Z27" s="79"/>
    </row>
    <row r="28" ht="15.75" customHeight="1">
      <c r="J28" s="79"/>
      <c r="K28" s="83"/>
      <c r="L28" s="88"/>
      <c r="M28" s="88"/>
      <c r="N28" s="88"/>
      <c r="O28" s="77"/>
      <c r="P28" s="83"/>
      <c r="Q28" s="83"/>
      <c r="R28" s="83"/>
      <c r="S28" s="83"/>
      <c r="T28" s="79"/>
      <c r="U28" s="79"/>
      <c r="V28" s="79"/>
      <c r="W28" s="79"/>
      <c r="X28" s="79"/>
      <c r="Y28" s="79"/>
      <c r="Z28" s="79"/>
    </row>
    <row r="29" ht="15.75" customHeight="1">
      <c r="J29" s="79"/>
      <c r="K29" s="83"/>
      <c r="L29" s="88"/>
      <c r="M29" s="88"/>
      <c r="N29" s="88"/>
      <c r="O29" s="77"/>
      <c r="P29" s="83"/>
      <c r="Q29" s="83"/>
      <c r="R29" s="83"/>
      <c r="S29" s="83"/>
      <c r="T29" s="79"/>
      <c r="U29" s="79"/>
      <c r="V29" s="79"/>
      <c r="W29" s="79"/>
      <c r="X29" s="79"/>
      <c r="Y29" s="79"/>
      <c r="Z29" s="79"/>
    </row>
    <row r="30" ht="15.75" customHeight="1">
      <c r="J30" s="79"/>
      <c r="K30" s="83"/>
      <c r="L30" s="88"/>
      <c r="M30" s="88"/>
      <c r="N30" s="88"/>
      <c r="O30" s="77"/>
      <c r="P30" s="83"/>
      <c r="Q30" s="83"/>
      <c r="R30" s="83"/>
      <c r="S30" s="83"/>
      <c r="T30" s="79"/>
      <c r="U30" s="79"/>
      <c r="V30" s="79"/>
      <c r="W30" s="79"/>
      <c r="X30" s="79"/>
      <c r="Y30" s="79"/>
      <c r="Z30" s="79"/>
    </row>
    <row r="31" ht="15.75" customHeight="1">
      <c r="J31" s="79"/>
      <c r="K31" s="92"/>
      <c r="O31" s="77"/>
      <c r="P31" s="83"/>
      <c r="Q31" s="83"/>
      <c r="R31" s="83"/>
      <c r="S31" s="83"/>
      <c r="T31" s="79"/>
      <c r="U31" s="79"/>
      <c r="V31" s="79"/>
      <c r="W31" s="79"/>
      <c r="X31" s="79"/>
      <c r="Y31" s="79"/>
      <c r="Z31" s="79"/>
    </row>
    <row r="32" ht="26.25" customHeight="1">
      <c r="A32" s="61" t="s">
        <v>376</v>
      </c>
      <c r="E32" s="77"/>
      <c r="F32" s="61" t="s">
        <v>377</v>
      </c>
      <c r="J32" s="65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1" t="s">
        <v>366</v>
      </c>
      <c r="B33" s="64" t="s">
        <v>378</v>
      </c>
      <c r="C33" s="63" t="s">
        <v>379</v>
      </c>
      <c r="D33" s="63" t="s">
        <v>380</v>
      </c>
      <c r="E33" s="95"/>
      <c r="F33" s="1" t="s">
        <v>366</v>
      </c>
      <c r="G33" s="64" t="s">
        <v>378</v>
      </c>
      <c r="H33" s="63" t="s">
        <v>379</v>
      </c>
      <c r="I33" s="63" t="s">
        <v>380</v>
      </c>
      <c r="J33" s="63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96">
        <v>1.0</v>
      </c>
      <c r="B34" s="96">
        <v>15000.0</v>
      </c>
      <c r="C34" s="96">
        <v>20000.0</v>
      </c>
      <c r="D34" s="96">
        <v>25000.0</v>
      </c>
      <c r="E34" s="97"/>
      <c r="F34" s="96">
        <v>1.0</v>
      </c>
      <c r="G34" s="96">
        <v>15000.0</v>
      </c>
      <c r="H34" s="96">
        <v>20000.0</v>
      </c>
      <c r="I34" s="96">
        <v>25000.0</v>
      </c>
      <c r="J34" s="96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96">
        <v>100.0</v>
      </c>
      <c r="B35" s="96">
        <v>15000.0</v>
      </c>
      <c r="C35" s="96">
        <v>25000.0</v>
      </c>
      <c r="D35" s="96">
        <v>30000.0</v>
      </c>
      <c r="E35" s="95"/>
      <c r="F35" s="96">
        <v>100.0</v>
      </c>
      <c r="G35" s="96">
        <v>15000.0</v>
      </c>
      <c r="H35" s="96">
        <v>25000.0</v>
      </c>
      <c r="I35" s="96">
        <v>30000.0</v>
      </c>
      <c r="J35" s="96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96">
        <v>400.0</v>
      </c>
      <c r="B36" s="96">
        <v>15000.0</v>
      </c>
      <c r="C36" s="96">
        <v>25000.0</v>
      </c>
      <c r="D36" s="96">
        <v>30000.0</v>
      </c>
      <c r="E36" s="95"/>
      <c r="F36" s="96">
        <v>400.0</v>
      </c>
      <c r="G36" s="96">
        <v>15000.0</v>
      </c>
      <c r="H36" s="96">
        <v>25000.0</v>
      </c>
      <c r="I36" s="96">
        <v>30000.0</v>
      </c>
      <c r="J36" s="96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96">
        <v>600.0</v>
      </c>
      <c r="B37" s="96">
        <v>20000.0</v>
      </c>
      <c r="C37" s="96">
        <v>30000.0</v>
      </c>
      <c r="D37" s="96">
        <v>40000.0</v>
      </c>
      <c r="E37" s="95"/>
      <c r="F37" s="96">
        <v>600.0</v>
      </c>
      <c r="G37" s="96">
        <v>20000.0</v>
      </c>
      <c r="H37" s="96">
        <v>30000.0</v>
      </c>
      <c r="I37" s="96">
        <v>40000.0</v>
      </c>
      <c r="J37" s="96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96">
        <v>800.0</v>
      </c>
      <c r="B38" s="96">
        <v>20000.0</v>
      </c>
      <c r="C38" s="96">
        <v>30000.0</v>
      </c>
      <c r="D38" s="96">
        <v>40000.0</v>
      </c>
      <c r="E38" s="95"/>
      <c r="F38" s="96">
        <v>800.0</v>
      </c>
      <c r="G38" s="96">
        <v>20000.0</v>
      </c>
      <c r="H38" s="96">
        <v>30000.0</v>
      </c>
      <c r="I38" s="96">
        <v>40000.0</v>
      </c>
      <c r="J38" s="96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96">
        <v>1000.0</v>
      </c>
      <c r="B39" s="96">
        <v>25000.0</v>
      </c>
      <c r="C39" s="96">
        <v>35000.0</v>
      </c>
      <c r="D39" s="96">
        <v>45000.0</v>
      </c>
      <c r="E39" s="95"/>
      <c r="F39" s="96">
        <v>1000.0</v>
      </c>
      <c r="G39" s="96">
        <v>25000.0</v>
      </c>
      <c r="H39" s="96">
        <v>35000.0</v>
      </c>
      <c r="I39" s="96">
        <v>45000.0</v>
      </c>
      <c r="J39" s="96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96">
        <v>1500.0</v>
      </c>
      <c r="B40" s="96">
        <v>30000.0</v>
      </c>
      <c r="C40" s="96">
        <v>45000.0</v>
      </c>
      <c r="D40" s="96">
        <v>51000.0</v>
      </c>
      <c r="E40" s="95"/>
      <c r="F40" s="96">
        <v>1500.0</v>
      </c>
      <c r="G40" s="96">
        <v>30000.0</v>
      </c>
      <c r="H40" s="96">
        <v>45000.0</v>
      </c>
      <c r="I40" s="96">
        <v>51000.0</v>
      </c>
      <c r="J40" s="96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96">
        <v>2000.0</v>
      </c>
      <c r="B41" s="96">
        <v>40000.0</v>
      </c>
      <c r="C41" s="96">
        <v>60000.0</v>
      </c>
      <c r="D41" s="96">
        <v>68000.0</v>
      </c>
      <c r="E41" s="95"/>
      <c r="F41" s="96">
        <v>2000.0</v>
      </c>
      <c r="G41" s="96">
        <v>40000.0</v>
      </c>
      <c r="H41" s="96">
        <v>60000.0</v>
      </c>
      <c r="I41" s="96">
        <v>68000.0</v>
      </c>
      <c r="J41" s="96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96">
        <v>2500.0</v>
      </c>
      <c r="B42" s="96">
        <v>48000.0</v>
      </c>
      <c r="C42" s="96">
        <v>72000.0</v>
      </c>
      <c r="D42" s="96">
        <v>81600.0</v>
      </c>
      <c r="E42" s="95"/>
      <c r="F42" s="96">
        <v>2500.0</v>
      </c>
      <c r="G42" s="96">
        <v>48000.0</v>
      </c>
      <c r="H42" s="96">
        <v>72000.0</v>
      </c>
      <c r="I42" s="96">
        <v>81600.0</v>
      </c>
      <c r="J42" s="96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96">
        <v>3000.0</v>
      </c>
      <c r="B43" s="96">
        <v>56000.0</v>
      </c>
      <c r="C43" s="96">
        <v>84000.0</v>
      </c>
      <c r="D43" s="96">
        <v>95200.0</v>
      </c>
      <c r="E43" s="95"/>
      <c r="F43" s="96">
        <v>3000.0</v>
      </c>
      <c r="G43" s="96">
        <v>56000.0</v>
      </c>
      <c r="H43" s="96">
        <v>84000.0</v>
      </c>
      <c r="I43" s="96">
        <v>95200.0</v>
      </c>
      <c r="J43" s="96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96">
        <v>3500.0</v>
      </c>
      <c r="B44" s="96">
        <v>64000.0</v>
      </c>
      <c r="C44" s="96">
        <v>96000.0</v>
      </c>
      <c r="D44" s="96">
        <v>108800.0</v>
      </c>
      <c r="E44" s="95"/>
      <c r="F44" s="96">
        <v>3500.0</v>
      </c>
      <c r="G44" s="96">
        <v>64000.0</v>
      </c>
      <c r="H44" s="96">
        <v>96000.0</v>
      </c>
      <c r="I44" s="96">
        <v>108800.0</v>
      </c>
      <c r="J44" s="96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96">
        <v>4000.0</v>
      </c>
      <c r="B45" s="96">
        <v>72000.0</v>
      </c>
      <c r="C45" s="96">
        <v>108000.0</v>
      </c>
      <c r="D45" s="96">
        <v>122400.0</v>
      </c>
      <c r="E45" s="95"/>
      <c r="F45" s="96">
        <v>4000.0</v>
      </c>
      <c r="G45" s="96">
        <v>72000.0</v>
      </c>
      <c r="H45" s="96">
        <v>108000.0</v>
      </c>
      <c r="I45" s="96">
        <v>122400.0</v>
      </c>
      <c r="J45" s="96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96">
        <v>4500.0</v>
      </c>
      <c r="B46" s="96">
        <v>80000.0</v>
      </c>
      <c r="C46" s="96">
        <v>120000.0</v>
      </c>
      <c r="D46" s="96">
        <v>136000.0</v>
      </c>
      <c r="E46" s="95"/>
      <c r="F46" s="96">
        <v>4500.0</v>
      </c>
      <c r="G46" s="96">
        <v>80000.0</v>
      </c>
      <c r="H46" s="96">
        <v>120000.0</v>
      </c>
      <c r="I46" s="96">
        <v>136000.0</v>
      </c>
      <c r="J46" s="96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96">
        <v>5000.0</v>
      </c>
      <c r="B47" s="96">
        <v>88000.0</v>
      </c>
      <c r="C47" s="96">
        <v>132000.0</v>
      </c>
      <c r="D47" s="96">
        <v>149600.0</v>
      </c>
      <c r="E47" s="95"/>
      <c r="F47" s="96">
        <v>5000.0</v>
      </c>
      <c r="G47" s="96">
        <v>88000.0</v>
      </c>
      <c r="H47" s="96">
        <v>132000.0</v>
      </c>
      <c r="I47" s="96">
        <v>149600.0</v>
      </c>
      <c r="J47" s="96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96">
        <v>5500.0</v>
      </c>
      <c r="B48" s="96">
        <v>96000.0</v>
      </c>
      <c r="C48" s="96">
        <v>144000.0</v>
      </c>
      <c r="D48" s="96">
        <v>163200.0</v>
      </c>
      <c r="E48" s="95"/>
      <c r="F48" s="96">
        <v>5500.0</v>
      </c>
      <c r="G48" s="96">
        <v>96000.0</v>
      </c>
      <c r="H48" s="96">
        <v>144000.0</v>
      </c>
      <c r="I48" s="96">
        <v>163200.0</v>
      </c>
      <c r="J48" s="96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96">
        <v>6000.0</v>
      </c>
      <c r="B49" s="96">
        <v>104000.0</v>
      </c>
      <c r="C49" s="96">
        <v>156000.0</v>
      </c>
      <c r="D49" s="96">
        <v>176800.0</v>
      </c>
      <c r="E49" s="95"/>
      <c r="F49" s="96">
        <v>6000.0</v>
      </c>
      <c r="G49" s="96">
        <v>104000.0</v>
      </c>
      <c r="H49" s="96">
        <v>156000.0</v>
      </c>
      <c r="I49" s="96">
        <v>176800.0</v>
      </c>
      <c r="J49" s="96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96">
        <v>6500.0</v>
      </c>
      <c r="B50" s="96">
        <v>112000.0</v>
      </c>
      <c r="C50" s="96">
        <v>168000.0</v>
      </c>
      <c r="D50" s="96">
        <v>190400.0</v>
      </c>
      <c r="E50" s="95"/>
      <c r="F50" s="96">
        <v>6500.0</v>
      </c>
      <c r="G50" s="96">
        <v>112000.0</v>
      </c>
      <c r="H50" s="96">
        <v>168000.0</v>
      </c>
      <c r="I50" s="96">
        <v>190400.0</v>
      </c>
      <c r="J50" s="96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96">
        <v>7000.0</v>
      </c>
      <c r="B51" s="96">
        <v>120000.0</v>
      </c>
      <c r="C51" s="96">
        <v>180000.0</v>
      </c>
      <c r="D51" s="96">
        <v>204000.0</v>
      </c>
      <c r="E51" s="95"/>
      <c r="F51" s="96">
        <v>7000.0</v>
      </c>
      <c r="G51" s="96">
        <v>120000.0</v>
      </c>
      <c r="H51" s="96">
        <v>180000.0</v>
      </c>
      <c r="I51" s="96">
        <v>204000.0</v>
      </c>
      <c r="J51" s="96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96">
        <v>7500.0</v>
      </c>
      <c r="B52" s="96">
        <v>128000.0</v>
      </c>
      <c r="C52" s="96">
        <v>192000.0</v>
      </c>
      <c r="D52" s="96">
        <v>217600.0</v>
      </c>
      <c r="E52" s="95"/>
      <c r="F52" s="96">
        <v>7500.0</v>
      </c>
      <c r="G52" s="96">
        <v>128000.0</v>
      </c>
      <c r="H52" s="96">
        <v>192000.0</v>
      </c>
      <c r="I52" s="96">
        <v>217600.0</v>
      </c>
      <c r="J52" s="96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96">
        <v>8000.0</v>
      </c>
      <c r="B53" s="96">
        <v>136000.0</v>
      </c>
      <c r="C53" s="96">
        <v>204000.0</v>
      </c>
      <c r="D53" s="96">
        <v>231200.0</v>
      </c>
      <c r="E53" s="95"/>
      <c r="F53" s="96">
        <v>8000.0</v>
      </c>
      <c r="G53" s="96">
        <v>136000.0</v>
      </c>
      <c r="H53" s="96">
        <v>204000.0</v>
      </c>
      <c r="I53" s="96">
        <v>231200.0</v>
      </c>
      <c r="J53" s="96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96">
        <v>8500.0</v>
      </c>
      <c r="B54" s="96">
        <v>144000.0</v>
      </c>
      <c r="C54" s="96">
        <v>216000.0</v>
      </c>
      <c r="D54" s="96">
        <v>244800.0</v>
      </c>
      <c r="E54" s="95"/>
      <c r="F54" s="96">
        <v>8500.0</v>
      </c>
      <c r="G54" s="96">
        <v>144000.0</v>
      </c>
      <c r="H54" s="96">
        <v>216000.0</v>
      </c>
      <c r="I54" s="96">
        <v>244800.0</v>
      </c>
      <c r="J54" s="96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96">
        <v>9000.0</v>
      </c>
      <c r="B55" s="96">
        <v>152000.0</v>
      </c>
      <c r="C55" s="96">
        <v>228000.0</v>
      </c>
      <c r="D55" s="96">
        <v>258400.0</v>
      </c>
      <c r="E55" s="95"/>
      <c r="F55" s="96">
        <v>9000.0</v>
      </c>
      <c r="G55" s="96">
        <v>152000.0</v>
      </c>
      <c r="H55" s="96">
        <v>228000.0</v>
      </c>
      <c r="I55" s="96">
        <v>258400.0</v>
      </c>
      <c r="J55" s="96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96">
        <v>9500.0</v>
      </c>
      <c r="B56" s="96">
        <v>160000.0</v>
      </c>
      <c r="C56" s="96">
        <v>240000.0</v>
      </c>
      <c r="D56" s="96">
        <v>272000.0</v>
      </c>
      <c r="E56" s="95"/>
      <c r="F56" s="96">
        <v>9500.0</v>
      </c>
      <c r="G56" s="96">
        <v>160000.0</v>
      </c>
      <c r="H56" s="96">
        <v>240000.0</v>
      </c>
      <c r="I56" s="96">
        <v>272000.0</v>
      </c>
      <c r="J56" s="96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96">
        <v>100000.0</v>
      </c>
      <c r="B57" s="89"/>
      <c r="C57" s="89"/>
      <c r="D57" s="89"/>
      <c r="E57" s="95"/>
      <c r="F57" s="96">
        <v>100000.0</v>
      </c>
      <c r="G57" s="89"/>
      <c r="H57" s="89"/>
      <c r="I57" s="89"/>
      <c r="J57" s="8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7"/>
      <c r="B58" s="77"/>
      <c r="C58" s="77"/>
      <c r="D58" s="77"/>
      <c r="E58" s="77"/>
      <c r="F58" s="77"/>
      <c r="G58" s="78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7"/>
      <c r="B59" s="77"/>
      <c r="C59" s="77"/>
      <c r="D59" s="77"/>
      <c r="E59" s="77"/>
      <c r="F59" s="77"/>
      <c r="G59" s="78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 outlineLevel="1">
      <c r="F60" s="75"/>
      <c r="G60" s="98"/>
      <c r="H60" s="75"/>
      <c r="I60" s="83"/>
    </row>
    <row r="61" ht="15.75" customHeight="1" outlineLevel="1">
      <c r="F61" s="75"/>
      <c r="G61" s="99"/>
      <c r="H61" s="75"/>
      <c r="I61" s="88"/>
    </row>
    <row r="62" ht="15.75" customHeight="1" outlineLevel="1">
      <c r="F62" s="75"/>
      <c r="G62" s="99"/>
      <c r="H62" s="75"/>
      <c r="I62" s="83"/>
    </row>
    <row r="63" ht="15.75" customHeight="1" outlineLevel="1">
      <c r="F63" s="75"/>
      <c r="G63" s="99"/>
      <c r="H63" s="75"/>
      <c r="I63" s="83"/>
    </row>
    <row r="64" ht="15.75" customHeight="1" outlineLevel="1">
      <c r="F64" s="75"/>
      <c r="G64" s="99"/>
      <c r="H64" s="75"/>
      <c r="I64" s="83"/>
    </row>
    <row r="65" ht="15.75" customHeight="1" outlineLevel="1">
      <c r="F65" s="75"/>
      <c r="G65" s="99"/>
      <c r="H65" s="75"/>
      <c r="I65" s="88"/>
    </row>
    <row r="66" ht="15.75" customHeight="1" outlineLevel="1">
      <c r="F66" s="75"/>
      <c r="G66" s="99"/>
      <c r="H66" s="75"/>
      <c r="I66" s="83"/>
    </row>
    <row r="67" ht="15.75" customHeight="1" outlineLevel="1">
      <c r="F67" s="75"/>
      <c r="G67" s="99"/>
      <c r="H67" s="75"/>
      <c r="I67" s="83"/>
    </row>
    <row r="68" ht="15.75" customHeight="1" outlineLevel="1">
      <c r="F68" s="75"/>
      <c r="G68" s="99"/>
      <c r="H68" s="75"/>
      <c r="I68" s="83"/>
    </row>
    <row r="69" ht="15.75" customHeight="1" outlineLevel="1">
      <c r="F69" s="75"/>
      <c r="G69" s="99"/>
      <c r="H69" s="75"/>
      <c r="I69" s="83"/>
    </row>
    <row r="70" ht="15.75" customHeight="1" outlineLevel="1">
      <c r="F70" s="75"/>
      <c r="G70" s="99"/>
      <c r="H70" s="75"/>
      <c r="I70" s="83"/>
    </row>
    <row r="71" ht="15.75" customHeight="1" outlineLevel="1">
      <c r="F71" s="75"/>
      <c r="G71" s="99"/>
      <c r="H71" s="75"/>
      <c r="I71" s="83"/>
    </row>
    <row r="72" ht="15.75" customHeight="1" outlineLevel="1">
      <c r="F72" s="75"/>
      <c r="G72" s="99"/>
      <c r="H72" s="75"/>
      <c r="I72" s="83"/>
    </row>
    <row r="73" ht="15.75" customHeight="1" outlineLevel="1">
      <c r="F73" s="75"/>
      <c r="G73" s="99"/>
      <c r="H73" s="75"/>
      <c r="I73" s="83"/>
    </row>
    <row r="74" ht="15.75" customHeight="1" outlineLevel="1">
      <c r="F74" s="75"/>
      <c r="G74" s="99"/>
      <c r="H74" s="75"/>
      <c r="I74" s="83"/>
    </row>
    <row r="75" ht="15.75" customHeight="1" outlineLevel="1">
      <c r="F75" s="75"/>
      <c r="G75" s="99"/>
      <c r="H75" s="75"/>
      <c r="I75" s="83"/>
    </row>
    <row r="76" ht="15.75" customHeight="1" outlineLevel="1">
      <c r="F76" s="75"/>
      <c r="G76" s="99"/>
      <c r="H76" s="75"/>
      <c r="I76" s="83"/>
    </row>
    <row r="77" ht="15.75" customHeight="1" outlineLevel="1">
      <c r="F77" s="75"/>
      <c r="G77" s="99"/>
      <c r="H77" s="75"/>
      <c r="I77" s="83"/>
    </row>
    <row r="78" ht="15.75" customHeight="1" outlineLevel="1">
      <c r="F78" s="75"/>
      <c r="G78" s="99"/>
      <c r="H78" s="75"/>
      <c r="I78" s="83"/>
    </row>
    <row r="79" ht="15.75" customHeight="1" outlineLevel="1">
      <c r="F79" s="75"/>
      <c r="G79" s="99"/>
      <c r="H79" s="75"/>
      <c r="I79" s="83"/>
    </row>
    <row r="80" ht="15.75" customHeight="1" outlineLevel="1">
      <c r="F80" s="75"/>
      <c r="G80" s="99"/>
      <c r="H80" s="75"/>
      <c r="I80" s="83"/>
    </row>
    <row r="81" ht="15.75" customHeight="1" outlineLevel="1">
      <c r="F81" s="75"/>
      <c r="G81" s="99"/>
      <c r="H81" s="75"/>
      <c r="I81" s="83"/>
    </row>
    <row r="82" ht="15.75" customHeight="1">
      <c r="F82" s="83"/>
      <c r="G82" s="83"/>
      <c r="H82" s="83"/>
      <c r="I82" s="83"/>
    </row>
    <row r="83" ht="15.75" customHeight="1" outlineLevel="1"/>
    <row r="84" ht="15.75" customHeight="1" outlineLevel="1"/>
    <row r="85" ht="15.75" customHeight="1" outlineLevel="1"/>
    <row r="86" ht="15.75" customHeight="1" outlineLevel="1"/>
    <row r="87" ht="15.75" customHeight="1" outlineLevel="1"/>
    <row r="88" ht="15.75" customHeight="1" outlineLevel="1"/>
    <row r="89" ht="15.75" customHeight="1" outlineLevel="1"/>
    <row r="90" ht="15.75" customHeight="1" outlineLevel="1"/>
    <row r="91" ht="15.75" customHeight="1" outlineLevel="1"/>
    <row r="92" ht="15.75" customHeight="1" outlineLevel="1"/>
    <row r="93" ht="15.75" customHeight="1" outlineLevel="1"/>
    <row r="94" ht="15.75" customHeight="1" outlineLevel="1"/>
    <row r="95" ht="15.75" customHeight="1" outlineLevel="1"/>
    <row r="96" ht="15.75" customHeight="1" outlineLevel="1"/>
    <row r="97" ht="15.75" customHeight="1" outlineLevel="1"/>
    <row r="98" ht="15.75" customHeight="1" outlineLevel="1"/>
    <row r="99" ht="15.75" customHeight="1" outlineLevel="1"/>
    <row r="100" ht="15.75" customHeight="1" outlineLevel="1"/>
    <row r="101" ht="15.75" customHeight="1" outlineLevel="1"/>
    <row r="102" ht="15.75" customHeight="1" outlineLevel="1"/>
    <row r="103" ht="15.75" customHeight="1" outlineLevel="1"/>
    <row r="104" ht="15.75" customHeight="1" outlineLevel="1"/>
    <row r="105" ht="15.75" customHeight="1" outlineLevel="1"/>
    <row r="106" ht="15.75" customHeight="1" outlineLevel="1"/>
    <row r="107" ht="15.75" customHeight="1" outlineLevel="1"/>
    <row r="108" ht="15.75" customHeight="1" outlineLevel="1"/>
    <row r="109" ht="15.75" customHeight="1" outlineLevel="1"/>
    <row r="110" ht="15.75" customHeight="1" outlineLevel="1"/>
    <row r="111" ht="15.75" customHeight="1" outlineLevel="1"/>
    <row r="112" ht="15.75" customHeight="1" outlineLevel="1"/>
    <row r="113" ht="15.75" customHeight="1" outlineLevel="1"/>
    <row r="114" ht="15.75" customHeight="1" outlineLevel="1"/>
    <row r="115" ht="15.75" customHeight="1" outlineLevel="1"/>
    <row r="116" ht="15.75" customHeight="1" outlineLevel="1"/>
    <row r="117" ht="15.75" customHeight="1" outlineLevel="1"/>
    <row r="118" ht="15.75" customHeight="1" outlineLevel="1"/>
    <row r="119" ht="15.75" customHeight="1" outlineLevel="1"/>
    <row r="120" ht="15.75" customHeight="1" outlineLevel="1"/>
    <row r="121" ht="15.75" customHeight="1" outlineLevel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</sheetData>
  <mergeCells count="9">
    <mergeCell ref="A32:D32"/>
    <mergeCell ref="F32:I32"/>
    <mergeCell ref="A1:C1"/>
    <mergeCell ref="A12:B12"/>
    <mergeCell ref="A15:D15"/>
    <mergeCell ref="F15:I15"/>
    <mergeCell ref="A27:D27"/>
    <mergeCell ref="F27:I27"/>
    <mergeCell ref="K31:N3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 ht="20.25" customHeight="1">
      <c r="A1" s="90" t="s">
        <v>381</v>
      </c>
      <c r="C1" s="100" t="s">
        <v>127</v>
      </c>
    </row>
    <row r="2">
      <c r="A2" s="65" t="s">
        <v>342</v>
      </c>
      <c r="B2" s="63" t="s">
        <v>343</v>
      </c>
      <c r="C2" s="100" t="s">
        <v>382</v>
      </c>
    </row>
    <row r="3">
      <c r="A3" s="66">
        <v>1.0</v>
      </c>
      <c r="B3" s="98">
        <v>2000.0</v>
      </c>
    </row>
    <row r="4">
      <c r="A4" s="66">
        <v>2.0</v>
      </c>
      <c r="B4" s="66">
        <v>4000.0</v>
      </c>
    </row>
    <row r="5">
      <c r="A5" s="66">
        <v>3.0</v>
      </c>
      <c r="B5" s="66">
        <v>6000.0</v>
      </c>
    </row>
    <row r="6">
      <c r="A6" s="66">
        <v>4.0</v>
      </c>
      <c r="B6" s="66">
        <v>8000.0</v>
      </c>
    </row>
    <row r="7">
      <c r="A7" s="66">
        <v>5.0</v>
      </c>
      <c r="B7" s="66">
        <v>10000.0</v>
      </c>
    </row>
    <row r="8">
      <c r="A8" s="66">
        <v>6.0</v>
      </c>
      <c r="B8" s="66">
        <v>12000.0</v>
      </c>
    </row>
    <row r="9">
      <c r="A9" s="66">
        <v>7.0</v>
      </c>
      <c r="B9" s="66">
        <v>14000.0</v>
      </c>
    </row>
    <row r="10">
      <c r="A10" s="66">
        <v>8.0</v>
      </c>
      <c r="B10" s="66">
        <v>16000.0</v>
      </c>
    </row>
    <row r="11">
      <c r="A11" s="66">
        <v>9.0</v>
      </c>
      <c r="B11" s="66">
        <v>18000.0</v>
      </c>
    </row>
    <row r="12">
      <c r="A12" s="66">
        <v>10.0</v>
      </c>
      <c r="B12" s="66">
        <v>20000.0</v>
      </c>
    </row>
    <row r="13">
      <c r="A13" s="66">
        <v>15.0</v>
      </c>
      <c r="B13" s="66">
        <v>30000.0</v>
      </c>
    </row>
    <row r="14">
      <c r="A14" s="66">
        <v>20.0</v>
      </c>
      <c r="B14" s="66">
        <v>40000.0</v>
      </c>
    </row>
    <row r="15">
      <c r="A15" s="66">
        <v>25.0</v>
      </c>
      <c r="B15" s="66">
        <v>50000.0</v>
      </c>
    </row>
    <row r="16">
      <c r="A16" s="66">
        <v>30.0</v>
      </c>
      <c r="B16" s="66">
        <v>60000.0</v>
      </c>
    </row>
    <row r="17">
      <c r="A17" s="66">
        <v>35.0</v>
      </c>
      <c r="B17" s="66">
        <v>70000.0</v>
      </c>
    </row>
    <row r="18">
      <c r="A18" s="66">
        <v>40.0</v>
      </c>
      <c r="B18" s="66">
        <v>80000.0</v>
      </c>
    </row>
    <row r="19">
      <c r="A19" s="66">
        <v>45.0</v>
      </c>
      <c r="B19" s="66">
        <v>90000.0</v>
      </c>
    </row>
    <row r="20">
      <c r="A20" s="66">
        <v>50.0</v>
      </c>
      <c r="B20" s="66">
        <v>100000.0</v>
      </c>
    </row>
    <row r="21">
      <c r="A21" s="66">
        <v>60.0</v>
      </c>
      <c r="B21" s="66">
        <v>120000.0</v>
      </c>
    </row>
    <row r="22">
      <c r="A22" s="66">
        <v>70.0</v>
      </c>
      <c r="B22" s="66">
        <v>140000.0</v>
      </c>
    </row>
    <row r="23">
      <c r="A23" s="66">
        <v>80.0</v>
      </c>
      <c r="B23" s="66">
        <v>160000.0</v>
      </c>
    </row>
    <row r="24">
      <c r="A24" s="66">
        <v>90.0</v>
      </c>
      <c r="B24" s="66">
        <v>180000.0</v>
      </c>
    </row>
    <row r="25">
      <c r="A25" s="66">
        <v>100.0</v>
      </c>
      <c r="B25" s="66">
        <v>200000.0</v>
      </c>
    </row>
    <row r="26">
      <c r="A26" s="68">
        <v>150.0</v>
      </c>
      <c r="B26" s="66">
        <v>300000.0</v>
      </c>
    </row>
    <row r="27">
      <c r="A27" s="66">
        <v>200.0</v>
      </c>
      <c r="B27" s="66">
        <v>400000.0</v>
      </c>
    </row>
    <row r="28">
      <c r="A28" s="66">
        <v>250.0</v>
      </c>
      <c r="B28" s="66">
        <v>500000.0</v>
      </c>
    </row>
    <row r="29">
      <c r="A29" s="66">
        <v>300.0</v>
      </c>
      <c r="B29" s="66">
        <v>600000.0</v>
      </c>
    </row>
    <row r="30">
      <c r="A30" s="66">
        <v>350.0</v>
      </c>
      <c r="B30" s="66">
        <v>700000.0</v>
      </c>
    </row>
    <row r="31">
      <c r="A31" s="66">
        <v>400.0</v>
      </c>
      <c r="B31" s="66">
        <v>800000.0</v>
      </c>
    </row>
    <row r="32">
      <c r="A32" s="66">
        <v>450.0</v>
      </c>
      <c r="B32" s="66">
        <v>900000.0</v>
      </c>
    </row>
    <row r="33">
      <c r="A33" s="66">
        <v>500.0</v>
      </c>
      <c r="B33" s="66">
        <v>1000000.0</v>
      </c>
    </row>
    <row r="34">
      <c r="A34" s="66">
        <v>600.0</v>
      </c>
      <c r="B34" s="66">
        <v>1200000.0</v>
      </c>
    </row>
    <row r="35">
      <c r="A35" s="66">
        <v>700.0</v>
      </c>
      <c r="B35" s="66">
        <v>1400000.0</v>
      </c>
    </row>
    <row r="36">
      <c r="A36" s="66">
        <v>800.0</v>
      </c>
      <c r="B36" s="66">
        <v>1600000.0</v>
      </c>
    </row>
    <row r="37">
      <c r="A37" s="66">
        <v>900.0</v>
      </c>
      <c r="B37" s="66">
        <v>1800000.0</v>
      </c>
    </row>
    <row r="38">
      <c r="A38" s="66">
        <v>1000.0</v>
      </c>
      <c r="B38" s="66">
        <v>2000000.0</v>
      </c>
    </row>
    <row r="39">
      <c r="A39" s="101" t="s">
        <v>383</v>
      </c>
      <c r="C39" s="102"/>
    </row>
    <row r="40">
      <c r="A40" s="66"/>
      <c r="B40" s="66"/>
    </row>
    <row r="42" ht="20.25" customHeight="1">
      <c r="A42" s="61" t="s">
        <v>384</v>
      </c>
      <c r="D42" s="103" t="s">
        <v>385</v>
      </c>
      <c r="E42" s="77"/>
      <c r="F42" s="90" t="s">
        <v>386</v>
      </c>
    </row>
    <row r="43">
      <c r="A43" s="1" t="s">
        <v>387</v>
      </c>
      <c r="B43" s="64" t="s">
        <v>388</v>
      </c>
      <c r="C43" s="63" t="s">
        <v>389</v>
      </c>
      <c r="D43" s="77"/>
      <c r="E43" s="77"/>
      <c r="F43" s="1" t="s">
        <v>387</v>
      </c>
      <c r="G43" s="64" t="s">
        <v>388</v>
      </c>
      <c r="H43" s="63" t="s">
        <v>389</v>
      </c>
    </row>
    <row r="44">
      <c r="A44" s="75">
        <v>1.0</v>
      </c>
      <c r="B44" s="98">
        <v>0.0</v>
      </c>
      <c r="C44" s="75"/>
      <c r="D44" s="77"/>
      <c r="E44" s="77"/>
      <c r="F44" s="83">
        <v>1.0</v>
      </c>
      <c r="G44" s="88">
        <v>2000.0</v>
      </c>
      <c r="H44" s="104">
        <v>4000.0</v>
      </c>
    </row>
    <row r="45">
      <c r="A45" s="75">
        <v>100.0</v>
      </c>
      <c r="B45" s="98">
        <v>0.0</v>
      </c>
      <c r="C45" s="75"/>
      <c r="D45" s="77"/>
      <c r="E45" s="77"/>
      <c r="F45" s="83">
        <v>100.0</v>
      </c>
      <c r="G45" s="88">
        <v>2000.0</v>
      </c>
      <c r="H45" s="104">
        <v>4000.0</v>
      </c>
    </row>
    <row r="46">
      <c r="A46" s="75">
        <v>200.0</v>
      </c>
      <c r="B46" s="99">
        <v>0.0</v>
      </c>
      <c r="C46" s="75"/>
      <c r="D46" s="77"/>
      <c r="E46" s="77"/>
      <c r="F46" s="83">
        <v>300.0</v>
      </c>
      <c r="G46" s="88">
        <v>4000.0</v>
      </c>
      <c r="H46" s="75">
        <v>8000.0</v>
      </c>
    </row>
    <row r="47">
      <c r="A47" s="75">
        <v>300.0</v>
      </c>
      <c r="B47" s="99">
        <v>0.0</v>
      </c>
      <c r="C47" s="75"/>
      <c r="D47" s="77"/>
      <c r="E47" s="77"/>
      <c r="F47" s="83">
        <v>500.0</v>
      </c>
      <c r="G47" s="88">
        <v>6000.0</v>
      </c>
      <c r="H47" s="75">
        <v>12000.0</v>
      </c>
    </row>
    <row r="48">
      <c r="A48" s="75">
        <v>400.0</v>
      </c>
      <c r="B48" s="99">
        <v>0.0</v>
      </c>
      <c r="C48" s="75"/>
      <c r="D48" s="77"/>
      <c r="E48" s="77"/>
      <c r="F48" s="83">
        <v>1000.0</v>
      </c>
      <c r="G48" s="88">
        <v>11000.0</v>
      </c>
      <c r="H48" s="75">
        <v>22000.0</v>
      </c>
    </row>
    <row r="49">
      <c r="A49" s="75">
        <v>500.0</v>
      </c>
      <c r="B49" s="99">
        <v>0.0</v>
      </c>
      <c r="C49" s="75"/>
      <c r="D49" s="77"/>
      <c r="E49" s="77"/>
      <c r="F49" s="83">
        <v>2000.0</v>
      </c>
      <c r="G49" s="88">
        <v>21000.0</v>
      </c>
      <c r="H49" s="75">
        <v>42000.0</v>
      </c>
    </row>
    <row r="50">
      <c r="A50" s="75">
        <v>600.0</v>
      </c>
      <c r="B50" s="99">
        <v>0.0</v>
      </c>
      <c r="C50" s="75"/>
      <c r="D50" s="77"/>
      <c r="E50" s="77"/>
      <c r="F50" s="83">
        <v>3000.0</v>
      </c>
      <c r="G50" s="88">
        <v>31000.0</v>
      </c>
      <c r="H50" s="75">
        <v>62000.0</v>
      </c>
    </row>
    <row r="51">
      <c r="A51" s="75">
        <v>700.0</v>
      </c>
      <c r="B51" s="99">
        <v>0.0</v>
      </c>
      <c r="C51" s="75"/>
      <c r="D51" s="77"/>
      <c r="E51" s="77"/>
      <c r="F51" s="83">
        <v>4000.0</v>
      </c>
      <c r="G51" s="88">
        <v>41000.0</v>
      </c>
      <c r="H51" s="75">
        <v>82000.0</v>
      </c>
    </row>
    <row r="52">
      <c r="A52" s="75">
        <v>800.0</v>
      </c>
      <c r="B52" s="99">
        <v>0.0</v>
      </c>
      <c r="C52" s="75"/>
      <c r="D52" s="77"/>
      <c r="E52" s="77"/>
      <c r="F52" s="83">
        <v>5000.0</v>
      </c>
      <c r="G52" s="88">
        <v>51000.0</v>
      </c>
      <c r="H52" s="75">
        <v>102000.0</v>
      </c>
    </row>
    <row r="53">
      <c r="A53" s="75">
        <v>900.0</v>
      </c>
      <c r="B53" s="99">
        <v>0.0</v>
      </c>
      <c r="C53" s="75"/>
      <c r="D53" s="77"/>
      <c r="E53" s="77"/>
      <c r="F53" s="92" t="s">
        <v>390</v>
      </c>
    </row>
    <row r="54">
      <c r="A54" s="75">
        <v>1000.0</v>
      </c>
      <c r="B54" s="99">
        <v>0.0</v>
      </c>
      <c r="C54" s="75"/>
      <c r="D54" s="77"/>
      <c r="E54" s="77"/>
      <c r="F54" s="105" t="s">
        <v>391</v>
      </c>
    </row>
    <row r="55">
      <c r="A55" s="75">
        <v>1500.0</v>
      </c>
      <c r="B55" s="99">
        <v>0.0</v>
      </c>
      <c r="C55" s="75"/>
      <c r="D55" s="77"/>
      <c r="E55" s="77"/>
      <c r="F55" s="75"/>
      <c r="G55" s="99"/>
      <c r="H55" s="75"/>
    </row>
    <row r="56">
      <c r="A56" s="75">
        <v>2000.0</v>
      </c>
      <c r="B56" s="99">
        <v>0.0</v>
      </c>
      <c r="C56" s="75"/>
      <c r="D56" s="77"/>
      <c r="E56" s="77"/>
      <c r="F56" s="75"/>
      <c r="G56" s="99"/>
      <c r="H56" s="75"/>
    </row>
    <row r="57">
      <c r="A57" s="75">
        <v>2500.0</v>
      </c>
      <c r="B57" s="99">
        <v>0.0</v>
      </c>
      <c r="C57" s="75"/>
      <c r="D57" s="77"/>
      <c r="E57" s="77"/>
      <c r="F57" s="75"/>
      <c r="G57" s="99"/>
      <c r="H57" s="75"/>
    </row>
    <row r="58">
      <c r="A58" s="75">
        <v>3000.0</v>
      </c>
      <c r="B58" s="99">
        <v>0.0</v>
      </c>
      <c r="C58" s="75"/>
      <c r="D58" s="77"/>
      <c r="E58" s="77"/>
      <c r="F58" s="75"/>
      <c r="G58" s="99"/>
      <c r="H58" s="75"/>
    </row>
    <row r="59">
      <c r="A59" s="75">
        <v>3500.0</v>
      </c>
      <c r="B59" s="99">
        <v>0.0</v>
      </c>
      <c r="C59" s="75"/>
      <c r="D59" s="77"/>
      <c r="E59" s="77"/>
      <c r="F59" s="75"/>
      <c r="G59" s="99"/>
      <c r="H59" s="75"/>
    </row>
    <row r="60">
      <c r="A60" s="75">
        <v>4000.0</v>
      </c>
      <c r="B60" s="99">
        <v>0.0</v>
      </c>
      <c r="C60" s="75"/>
      <c r="D60" s="77"/>
      <c r="E60" s="77"/>
      <c r="F60" s="75"/>
      <c r="G60" s="99"/>
      <c r="H60" s="75"/>
    </row>
    <row r="61">
      <c r="A61" s="75">
        <v>4500.0</v>
      </c>
      <c r="B61" s="99">
        <v>0.0</v>
      </c>
      <c r="C61" s="75"/>
      <c r="D61" s="77"/>
      <c r="E61" s="77"/>
      <c r="F61" s="75"/>
      <c r="G61" s="99"/>
      <c r="H61" s="75"/>
    </row>
    <row r="62">
      <c r="A62" s="75">
        <v>5000.0</v>
      </c>
      <c r="B62" s="99">
        <v>0.0</v>
      </c>
      <c r="C62" s="75"/>
      <c r="F62" s="75"/>
      <c r="G62" s="99"/>
      <c r="H62" s="75"/>
    </row>
    <row r="63">
      <c r="A63" s="75">
        <v>6000.0</v>
      </c>
      <c r="B63" s="99">
        <v>0.0</v>
      </c>
      <c r="C63" s="75"/>
      <c r="F63" s="75"/>
      <c r="G63" s="99"/>
      <c r="H63" s="75"/>
    </row>
    <row r="64">
      <c r="A64" s="75">
        <v>7000.0</v>
      </c>
      <c r="B64" s="99">
        <v>0.0</v>
      </c>
      <c r="C64" s="75"/>
      <c r="F64" s="75"/>
      <c r="G64" s="99"/>
      <c r="H64" s="75"/>
    </row>
    <row r="65">
      <c r="A65" s="75">
        <v>8000.0</v>
      </c>
      <c r="B65" s="99">
        <v>0.0</v>
      </c>
      <c r="C65" s="75"/>
      <c r="F65" s="75"/>
      <c r="G65" s="99"/>
      <c r="H65" s="75"/>
    </row>
    <row r="66">
      <c r="A66" s="75">
        <v>9000.0</v>
      </c>
      <c r="B66" s="99">
        <v>0.0</v>
      </c>
      <c r="C66" s="75"/>
      <c r="F66" s="75"/>
      <c r="G66" s="99"/>
      <c r="H66" s="75"/>
    </row>
  </sheetData>
  <mergeCells count="6">
    <mergeCell ref="A1:B1"/>
    <mergeCell ref="A39:B39"/>
    <mergeCell ref="A42:C42"/>
    <mergeCell ref="F42:H42"/>
    <mergeCell ref="F53:H53"/>
    <mergeCell ref="F54:H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2.0"/>
    <col customWidth="1" min="3" max="3" width="12.25"/>
    <col customWidth="1" min="4" max="4" width="10.0"/>
    <col customWidth="1" min="5" max="5" width="12.25"/>
    <col customWidth="1" min="6" max="19" width="10.0"/>
  </cols>
  <sheetData>
    <row r="1" ht="21.0" customHeight="1">
      <c r="A1" s="61" t="s">
        <v>392</v>
      </c>
    </row>
    <row r="2" ht="16.5" customHeight="1">
      <c r="A2" s="65" t="s">
        <v>393</v>
      </c>
      <c r="B2" s="106" t="s">
        <v>394</v>
      </c>
      <c r="E2" s="106" t="s">
        <v>395</v>
      </c>
      <c r="H2" s="106" t="s">
        <v>396</v>
      </c>
      <c r="K2" s="106" t="s">
        <v>397</v>
      </c>
      <c r="N2" s="106" t="s">
        <v>398</v>
      </c>
      <c r="Q2" s="106" t="s">
        <v>399</v>
      </c>
    </row>
    <row r="3" ht="32.25" customHeight="1">
      <c r="A3" s="107" t="s">
        <v>400</v>
      </c>
      <c r="B3" s="108" t="s">
        <v>401</v>
      </c>
      <c r="C3" s="108" t="s">
        <v>402</v>
      </c>
      <c r="D3" s="108" t="s">
        <v>403</v>
      </c>
      <c r="E3" s="108" t="s">
        <v>401</v>
      </c>
      <c r="F3" s="108" t="s">
        <v>402</v>
      </c>
      <c r="G3" s="108" t="s">
        <v>403</v>
      </c>
      <c r="H3" s="108" t="s">
        <v>401</v>
      </c>
      <c r="I3" s="108" t="s">
        <v>402</v>
      </c>
      <c r="J3" s="108" t="s">
        <v>403</v>
      </c>
      <c r="K3" s="108" t="s">
        <v>401</v>
      </c>
      <c r="L3" s="108" t="s">
        <v>402</v>
      </c>
      <c r="M3" s="108" t="s">
        <v>403</v>
      </c>
      <c r="N3" s="108" t="s">
        <v>401</v>
      </c>
      <c r="O3" s="108" t="s">
        <v>402</v>
      </c>
      <c r="P3" s="108" t="s">
        <v>403</v>
      </c>
      <c r="Q3" s="108" t="s">
        <v>401</v>
      </c>
      <c r="R3" s="108" t="s">
        <v>402</v>
      </c>
      <c r="S3" s="108" t="s">
        <v>403</v>
      </c>
      <c r="T3" s="100" t="s">
        <v>404</v>
      </c>
    </row>
    <row r="4" ht="15.75" customHeight="1">
      <c r="A4" s="109"/>
      <c r="B4" s="109"/>
      <c r="C4" s="109"/>
      <c r="D4" s="109"/>
      <c r="E4" s="109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1"/>
      <c r="S4" s="111"/>
    </row>
    <row r="5" ht="15.75" customHeight="1">
      <c r="A5" s="109">
        <v>1.0</v>
      </c>
      <c r="B5" s="109">
        <v>6000.0</v>
      </c>
      <c r="C5" s="109">
        <v>7000.0</v>
      </c>
      <c r="D5" s="109">
        <v>7000.0</v>
      </c>
      <c r="E5" s="109">
        <v>5000.0</v>
      </c>
      <c r="F5" s="109">
        <v>6000.0</v>
      </c>
      <c r="G5" s="109">
        <v>6000.0</v>
      </c>
      <c r="H5" s="110">
        <v>5000.0</v>
      </c>
      <c r="I5" s="110">
        <v>6000.0</v>
      </c>
      <c r="J5" s="110">
        <v>6000.0</v>
      </c>
      <c r="K5" s="110">
        <v>6000.0</v>
      </c>
      <c r="L5" s="110">
        <v>7000.0</v>
      </c>
      <c r="M5" s="110">
        <v>7000.0</v>
      </c>
      <c r="N5" s="110">
        <v>6700.0</v>
      </c>
      <c r="O5" s="110">
        <v>7700.0</v>
      </c>
      <c r="P5" s="110">
        <v>7700.0</v>
      </c>
      <c r="Q5" s="110">
        <v>6700.0</v>
      </c>
      <c r="R5" s="110">
        <v>7700.0</v>
      </c>
      <c r="S5" s="110">
        <v>7700.0</v>
      </c>
      <c r="T5" s="66"/>
      <c r="U5" s="66"/>
    </row>
    <row r="6" ht="15.75" customHeight="1">
      <c r="A6" s="112">
        <v>2.0</v>
      </c>
      <c r="B6" s="109">
        <v>6000.0</v>
      </c>
      <c r="C6" s="109">
        <v>7000.0</v>
      </c>
      <c r="D6" s="109">
        <v>7000.0</v>
      </c>
      <c r="E6" s="109">
        <v>5000.0</v>
      </c>
      <c r="F6" s="109">
        <v>6000.0</v>
      </c>
      <c r="G6" s="109">
        <v>6000.0</v>
      </c>
      <c r="H6" s="110">
        <v>5000.0</v>
      </c>
      <c r="I6" s="110">
        <v>6000.0</v>
      </c>
      <c r="J6" s="110">
        <v>6000.0</v>
      </c>
      <c r="K6" s="110">
        <v>6000.0</v>
      </c>
      <c r="L6" s="110">
        <v>7000.0</v>
      </c>
      <c r="M6" s="110">
        <v>7000.0</v>
      </c>
      <c r="N6" s="110">
        <v>6700.0</v>
      </c>
      <c r="O6" s="110">
        <v>7700.0</v>
      </c>
      <c r="P6" s="110">
        <v>7700.0</v>
      </c>
      <c r="Q6" s="110">
        <v>6700.0</v>
      </c>
      <c r="R6" s="110">
        <v>7700.0</v>
      </c>
      <c r="S6" s="110">
        <v>7700.0</v>
      </c>
      <c r="T6" s="66"/>
      <c r="U6" s="66"/>
    </row>
    <row r="7" ht="15.75" customHeight="1">
      <c r="A7" s="112">
        <v>3.0</v>
      </c>
      <c r="B7" s="109">
        <v>5900.0</v>
      </c>
      <c r="C7" s="109">
        <v>6900.0</v>
      </c>
      <c r="D7" s="109">
        <v>6900.0</v>
      </c>
      <c r="E7" s="109">
        <v>5000.0</v>
      </c>
      <c r="F7" s="109">
        <v>6000.0</v>
      </c>
      <c r="G7" s="109">
        <v>6000.0</v>
      </c>
      <c r="H7" s="110">
        <v>5000.0</v>
      </c>
      <c r="I7" s="110">
        <v>6000.0</v>
      </c>
      <c r="J7" s="110">
        <v>6000.0</v>
      </c>
      <c r="K7" s="110">
        <v>5800.0</v>
      </c>
      <c r="L7" s="110">
        <v>6800.0</v>
      </c>
      <c r="M7" s="110">
        <v>6800.0</v>
      </c>
      <c r="N7" s="110">
        <v>6500.0</v>
      </c>
      <c r="O7" s="110">
        <v>7500.0</v>
      </c>
      <c r="P7" s="110">
        <v>7500.0</v>
      </c>
      <c r="Q7" s="110">
        <v>6500.0</v>
      </c>
      <c r="R7" s="110">
        <v>7500.0</v>
      </c>
      <c r="S7" s="110">
        <v>7500.0</v>
      </c>
      <c r="T7" s="66"/>
      <c r="U7" s="66"/>
    </row>
    <row r="8" ht="15.75" customHeight="1">
      <c r="A8" s="109">
        <v>4.0</v>
      </c>
      <c r="B8" s="109">
        <v>5800.0</v>
      </c>
      <c r="C8" s="109">
        <v>6800.0</v>
      </c>
      <c r="D8" s="109">
        <v>6800.0</v>
      </c>
      <c r="E8" s="109">
        <v>5000.0</v>
      </c>
      <c r="F8" s="109">
        <v>6000.0</v>
      </c>
      <c r="G8" s="109">
        <v>6000.0</v>
      </c>
      <c r="H8" s="110">
        <v>5000.0</v>
      </c>
      <c r="I8" s="110">
        <v>6000.0</v>
      </c>
      <c r="J8" s="110">
        <v>6000.0</v>
      </c>
      <c r="K8" s="110">
        <v>5800.0</v>
      </c>
      <c r="L8" s="110">
        <v>6800.0</v>
      </c>
      <c r="M8" s="110">
        <v>6800.0</v>
      </c>
      <c r="N8" s="110">
        <v>6500.0</v>
      </c>
      <c r="O8" s="110">
        <v>7500.0</v>
      </c>
      <c r="P8" s="110">
        <v>7500.0</v>
      </c>
      <c r="Q8" s="110">
        <v>6400.0</v>
      </c>
      <c r="R8" s="110">
        <v>7400.0</v>
      </c>
      <c r="S8" s="110">
        <v>7400.0</v>
      </c>
      <c r="T8" s="66"/>
      <c r="U8" s="66"/>
    </row>
    <row r="9" ht="15.75" customHeight="1">
      <c r="A9" s="109">
        <v>5.0</v>
      </c>
      <c r="B9" s="109">
        <v>5800.0</v>
      </c>
      <c r="C9" s="109">
        <v>6800.0</v>
      </c>
      <c r="D9" s="109">
        <v>6800.0</v>
      </c>
      <c r="E9" s="109">
        <v>5000.0</v>
      </c>
      <c r="F9" s="109">
        <v>6000.0</v>
      </c>
      <c r="G9" s="109">
        <v>6000.0</v>
      </c>
      <c r="H9" s="110">
        <v>5000.0</v>
      </c>
      <c r="I9" s="110">
        <v>6000.0</v>
      </c>
      <c r="J9" s="110">
        <v>6000.0</v>
      </c>
      <c r="K9" s="110">
        <v>5800.0</v>
      </c>
      <c r="L9" s="110">
        <v>6800.0</v>
      </c>
      <c r="M9" s="110">
        <v>6800.0</v>
      </c>
      <c r="N9" s="110">
        <v>6400.0</v>
      </c>
      <c r="O9" s="110">
        <v>7400.0</v>
      </c>
      <c r="P9" s="110">
        <v>7400.0</v>
      </c>
      <c r="Q9" s="110">
        <v>6300.0</v>
      </c>
      <c r="R9" s="110">
        <v>7300.0</v>
      </c>
      <c r="S9" s="110">
        <v>7300.0</v>
      </c>
      <c r="T9" s="66"/>
      <c r="U9" s="66"/>
    </row>
    <row r="10" ht="15.75" customHeight="1">
      <c r="A10" s="109">
        <v>6.0</v>
      </c>
      <c r="B10" s="109">
        <v>5700.0</v>
      </c>
      <c r="C10" s="109">
        <v>6700.0</v>
      </c>
      <c r="D10" s="109">
        <v>6700.0</v>
      </c>
      <c r="E10" s="109">
        <v>5000.0</v>
      </c>
      <c r="F10" s="109">
        <v>6000.0</v>
      </c>
      <c r="G10" s="109">
        <v>6000.0</v>
      </c>
      <c r="H10" s="110">
        <v>5000.0</v>
      </c>
      <c r="I10" s="110">
        <v>6000.0</v>
      </c>
      <c r="J10" s="110">
        <v>6000.0</v>
      </c>
      <c r="K10" s="110">
        <v>5800.0</v>
      </c>
      <c r="L10" s="110">
        <v>6800.0</v>
      </c>
      <c r="M10" s="110">
        <v>6800.0</v>
      </c>
      <c r="N10" s="110">
        <v>6300.0</v>
      </c>
      <c r="O10" s="110">
        <v>7300.0</v>
      </c>
      <c r="P10" s="110">
        <v>7300.0</v>
      </c>
      <c r="Q10" s="110">
        <v>6200.0</v>
      </c>
      <c r="R10" s="110">
        <v>7200.0</v>
      </c>
      <c r="S10" s="110">
        <v>7200.0</v>
      </c>
      <c r="T10" s="66"/>
      <c r="U10" s="66"/>
    </row>
    <row r="11" ht="15.75" customHeight="1">
      <c r="A11" s="109">
        <v>8.0</v>
      </c>
      <c r="B11" s="109">
        <v>5700.0</v>
      </c>
      <c r="C11" s="109">
        <v>6700.0</v>
      </c>
      <c r="D11" s="109">
        <v>6700.0</v>
      </c>
      <c r="E11" s="109">
        <v>5000.0</v>
      </c>
      <c r="F11" s="109">
        <v>6000.0</v>
      </c>
      <c r="G11" s="109">
        <v>6000.0</v>
      </c>
      <c r="H11" s="110">
        <v>5000.0</v>
      </c>
      <c r="I11" s="110">
        <v>6000.0</v>
      </c>
      <c r="J11" s="110">
        <v>6000.0</v>
      </c>
      <c r="K11" s="110">
        <v>5800.0</v>
      </c>
      <c r="L11" s="110">
        <v>6800.0</v>
      </c>
      <c r="M11" s="110">
        <v>6800.0</v>
      </c>
      <c r="N11" s="110">
        <v>6300.0</v>
      </c>
      <c r="O11" s="110">
        <v>7300.0</v>
      </c>
      <c r="P11" s="110">
        <v>7300.0</v>
      </c>
      <c r="Q11" s="110">
        <v>6200.0</v>
      </c>
      <c r="R11" s="110">
        <v>7200.0</v>
      </c>
      <c r="S11" s="110">
        <v>7200.0</v>
      </c>
      <c r="T11" s="66"/>
      <c r="U11" s="66"/>
    </row>
    <row r="12" ht="15.75" customHeight="1">
      <c r="A12" s="109">
        <v>10.0</v>
      </c>
      <c r="B12" s="109">
        <v>5700.0</v>
      </c>
      <c r="C12" s="109">
        <v>6700.0</v>
      </c>
      <c r="D12" s="109">
        <v>6700.0</v>
      </c>
      <c r="E12" s="109">
        <v>5000.0</v>
      </c>
      <c r="F12" s="109">
        <v>6000.0</v>
      </c>
      <c r="G12" s="109">
        <v>6000.0</v>
      </c>
      <c r="H12" s="110">
        <v>5000.0</v>
      </c>
      <c r="I12" s="110">
        <v>6000.0</v>
      </c>
      <c r="J12" s="110">
        <v>6000.0</v>
      </c>
      <c r="K12" s="110">
        <v>5700.0</v>
      </c>
      <c r="L12" s="110">
        <v>6700.0</v>
      </c>
      <c r="M12" s="110">
        <v>6700.0</v>
      </c>
      <c r="N12" s="110">
        <v>6300.0</v>
      </c>
      <c r="O12" s="110">
        <v>7300.0</v>
      </c>
      <c r="P12" s="110">
        <v>7300.0</v>
      </c>
      <c r="Q12" s="110">
        <v>6200.0</v>
      </c>
      <c r="R12" s="110">
        <v>7200.0</v>
      </c>
      <c r="S12" s="110">
        <v>7200.0</v>
      </c>
      <c r="T12" s="66"/>
      <c r="U12" s="66"/>
    </row>
    <row r="13" ht="15.75" customHeight="1">
      <c r="A13" s="109">
        <v>15.0</v>
      </c>
      <c r="B13" s="109">
        <v>5600.0</v>
      </c>
      <c r="C13" s="109">
        <v>6600.0</v>
      </c>
      <c r="D13" s="109">
        <v>6600.0</v>
      </c>
      <c r="E13" s="109">
        <v>4800.0</v>
      </c>
      <c r="F13" s="109">
        <v>5800.0</v>
      </c>
      <c r="G13" s="109">
        <v>5800.0</v>
      </c>
      <c r="H13" s="110">
        <v>4500.0</v>
      </c>
      <c r="I13" s="110">
        <v>5500.0</v>
      </c>
      <c r="J13" s="110">
        <v>5500.0</v>
      </c>
      <c r="K13" s="110">
        <v>5600.0</v>
      </c>
      <c r="L13" s="110">
        <v>6600.0</v>
      </c>
      <c r="M13" s="110">
        <v>6600.0</v>
      </c>
      <c r="N13" s="110">
        <v>6200.0</v>
      </c>
      <c r="O13" s="110">
        <v>7200.0</v>
      </c>
      <c r="P13" s="110">
        <v>7200.0</v>
      </c>
      <c r="Q13" s="110">
        <v>6100.0</v>
      </c>
      <c r="R13" s="110">
        <v>7100.0</v>
      </c>
      <c r="S13" s="110">
        <v>7100.0</v>
      </c>
      <c r="T13" s="66"/>
      <c r="U13" s="66"/>
    </row>
    <row r="14" ht="15.75" customHeight="1">
      <c r="A14" s="109">
        <v>20.0</v>
      </c>
      <c r="B14" s="109">
        <v>5500.0</v>
      </c>
      <c r="C14" s="109">
        <v>6500.0</v>
      </c>
      <c r="D14" s="109">
        <v>6500.0</v>
      </c>
      <c r="E14" s="109">
        <v>4800.0</v>
      </c>
      <c r="F14" s="109">
        <v>5800.0</v>
      </c>
      <c r="G14" s="109">
        <v>5800.0</v>
      </c>
      <c r="H14" s="110">
        <v>4500.0</v>
      </c>
      <c r="I14" s="110">
        <v>5500.0</v>
      </c>
      <c r="J14" s="110">
        <v>5500.0</v>
      </c>
      <c r="K14" s="110">
        <v>5600.0</v>
      </c>
      <c r="L14" s="110">
        <v>6600.0</v>
      </c>
      <c r="M14" s="110">
        <v>6600.0</v>
      </c>
      <c r="N14" s="110">
        <v>6200.0</v>
      </c>
      <c r="O14" s="110">
        <v>7200.0</v>
      </c>
      <c r="P14" s="110">
        <v>7200.0</v>
      </c>
      <c r="Q14" s="110">
        <v>6100.0</v>
      </c>
      <c r="R14" s="110">
        <v>7100.0</v>
      </c>
      <c r="S14" s="110">
        <v>7100.0</v>
      </c>
      <c r="T14" s="66"/>
      <c r="U14" s="66"/>
    </row>
    <row r="15" ht="15.75" customHeight="1">
      <c r="A15" s="109">
        <v>25.0</v>
      </c>
      <c r="B15" s="109">
        <v>5500.0</v>
      </c>
      <c r="C15" s="109">
        <v>6500.0</v>
      </c>
      <c r="D15" s="109">
        <v>6500.0</v>
      </c>
      <c r="E15" s="109">
        <v>4700.0</v>
      </c>
      <c r="F15" s="109">
        <v>5700.0</v>
      </c>
      <c r="G15" s="109">
        <v>5700.0</v>
      </c>
      <c r="H15" s="110">
        <v>4500.0</v>
      </c>
      <c r="I15" s="110">
        <v>5500.0</v>
      </c>
      <c r="J15" s="110">
        <v>5500.0</v>
      </c>
      <c r="K15" s="110">
        <v>5500.0</v>
      </c>
      <c r="L15" s="110">
        <v>6500.0</v>
      </c>
      <c r="M15" s="110">
        <v>6500.0</v>
      </c>
      <c r="N15" s="110">
        <v>6100.0</v>
      </c>
      <c r="O15" s="110">
        <v>7100.0</v>
      </c>
      <c r="P15" s="110">
        <v>7100.0</v>
      </c>
      <c r="Q15" s="110">
        <v>6000.0</v>
      </c>
      <c r="R15" s="110">
        <v>7000.0</v>
      </c>
      <c r="S15" s="110">
        <v>7000.0</v>
      </c>
      <c r="T15" s="66"/>
      <c r="U15" s="66"/>
    </row>
    <row r="16" ht="15.75" customHeight="1">
      <c r="A16" s="109">
        <v>30.0</v>
      </c>
      <c r="B16" s="109">
        <v>5400.0</v>
      </c>
      <c r="C16" s="109">
        <v>6400.0</v>
      </c>
      <c r="D16" s="109">
        <v>6400.0</v>
      </c>
      <c r="E16" s="109">
        <v>4700.0</v>
      </c>
      <c r="F16" s="109">
        <v>5700.0</v>
      </c>
      <c r="G16" s="109">
        <v>5700.0</v>
      </c>
      <c r="H16" s="110">
        <v>4500.0</v>
      </c>
      <c r="I16" s="110">
        <v>5500.0</v>
      </c>
      <c r="J16" s="110">
        <v>5500.0</v>
      </c>
      <c r="K16" s="110">
        <v>5500.0</v>
      </c>
      <c r="L16" s="110">
        <v>6500.0</v>
      </c>
      <c r="M16" s="110">
        <v>6500.0</v>
      </c>
      <c r="N16" s="110">
        <v>6100.0</v>
      </c>
      <c r="O16" s="110">
        <v>7100.0</v>
      </c>
      <c r="P16" s="110">
        <v>7100.0</v>
      </c>
      <c r="Q16" s="110">
        <v>6000.0</v>
      </c>
      <c r="R16" s="110">
        <v>7000.0</v>
      </c>
      <c r="S16" s="110">
        <v>7000.0</v>
      </c>
      <c r="T16" s="66"/>
      <c r="U16" s="66"/>
    </row>
    <row r="17" ht="15.75" customHeight="1">
      <c r="A17" s="109">
        <v>38.0</v>
      </c>
      <c r="B17" s="109">
        <v>5400.0</v>
      </c>
      <c r="C17" s="109">
        <v>6400.0</v>
      </c>
      <c r="D17" s="109">
        <v>6400.0</v>
      </c>
      <c r="E17" s="109">
        <v>4700.0</v>
      </c>
      <c r="F17" s="109">
        <v>5700.0</v>
      </c>
      <c r="G17" s="109">
        <v>5700.0</v>
      </c>
      <c r="H17" s="110">
        <v>4500.0</v>
      </c>
      <c r="I17" s="110">
        <v>5500.0</v>
      </c>
      <c r="J17" s="110">
        <v>5500.0</v>
      </c>
      <c r="K17" s="110">
        <v>5400.0</v>
      </c>
      <c r="L17" s="110">
        <v>6400.0</v>
      </c>
      <c r="M17" s="110">
        <v>6400.0</v>
      </c>
      <c r="N17" s="110">
        <v>6000.0</v>
      </c>
      <c r="O17" s="110">
        <v>7000.0</v>
      </c>
      <c r="P17" s="110">
        <v>7000.0</v>
      </c>
      <c r="Q17" s="110">
        <v>6000.0</v>
      </c>
      <c r="R17" s="110">
        <v>7000.0</v>
      </c>
      <c r="S17" s="110">
        <v>7000.0</v>
      </c>
      <c r="T17" s="66"/>
      <c r="U17" s="66"/>
    </row>
    <row r="18" ht="15.75" customHeight="1">
      <c r="A18" s="109">
        <v>40.0</v>
      </c>
      <c r="B18" s="109">
        <v>5300.0</v>
      </c>
      <c r="C18" s="109">
        <v>6300.0</v>
      </c>
      <c r="D18" s="109">
        <v>6300.0</v>
      </c>
      <c r="E18" s="109">
        <v>4700.0</v>
      </c>
      <c r="F18" s="109">
        <v>5700.0</v>
      </c>
      <c r="G18" s="109">
        <v>5700.0</v>
      </c>
      <c r="H18" s="110">
        <v>4500.0</v>
      </c>
      <c r="I18" s="110">
        <v>5500.0</v>
      </c>
      <c r="J18" s="110">
        <v>5500.0</v>
      </c>
      <c r="K18" s="110">
        <v>5400.0</v>
      </c>
      <c r="L18" s="110">
        <v>6400.0</v>
      </c>
      <c r="M18" s="110">
        <v>6400.0</v>
      </c>
      <c r="N18" s="110">
        <v>6000.0</v>
      </c>
      <c r="O18" s="110">
        <v>7000.0</v>
      </c>
      <c r="P18" s="110">
        <v>7000.0</v>
      </c>
      <c r="Q18" s="110">
        <v>6000.0</v>
      </c>
      <c r="R18" s="110">
        <v>7000.0</v>
      </c>
      <c r="S18" s="110">
        <v>7000.0</v>
      </c>
      <c r="T18" s="66"/>
      <c r="U18" s="66"/>
    </row>
    <row r="19" ht="15.75" customHeight="1">
      <c r="A19" s="109">
        <v>50.0</v>
      </c>
      <c r="B19" s="109">
        <v>5300.0</v>
      </c>
      <c r="C19" s="109">
        <v>6300.0</v>
      </c>
      <c r="D19" s="109">
        <v>6300.0</v>
      </c>
      <c r="E19" s="109">
        <v>4700.0</v>
      </c>
      <c r="F19" s="109">
        <v>5700.0</v>
      </c>
      <c r="G19" s="109">
        <v>5700.0</v>
      </c>
      <c r="H19" s="110">
        <v>4500.0</v>
      </c>
      <c r="I19" s="110">
        <v>5500.0</v>
      </c>
      <c r="J19" s="110">
        <v>5500.0</v>
      </c>
      <c r="K19" s="110">
        <v>5300.0</v>
      </c>
      <c r="L19" s="110">
        <v>6300.0</v>
      </c>
      <c r="M19" s="110">
        <v>6300.0</v>
      </c>
      <c r="N19" s="110">
        <v>5900.0</v>
      </c>
      <c r="O19" s="110">
        <v>6900.0</v>
      </c>
      <c r="P19" s="110">
        <v>6900.0</v>
      </c>
      <c r="Q19" s="110">
        <v>5900.0</v>
      </c>
      <c r="R19" s="110">
        <v>6900.0</v>
      </c>
      <c r="S19" s="110">
        <v>6900.0</v>
      </c>
      <c r="T19" s="66"/>
      <c r="U19" s="66"/>
    </row>
    <row r="20" ht="15.75" customHeight="1">
      <c r="A20" s="109">
        <v>60.0</v>
      </c>
      <c r="B20" s="109">
        <v>5200.0</v>
      </c>
      <c r="C20" s="109">
        <v>6200.0</v>
      </c>
      <c r="D20" s="109">
        <v>6200.0</v>
      </c>
      <c r="E20" s="109">
        <v>4700.0</v>
      </c>
      <c r="F20" s="109">
        <v>5700.0</v>
      </c>
      <c r="G20" s="109">
        <v>5700.0</v>
      </c>
      <c r="H20" s="110">
        <v>4500.0</v>
      </c>
      <c r="I20" s="110">
        <v>5500.0</v>
      </c>
      <c r="J20" s="110">
        <v>5500.0</v>
      </c>
      <c r="K20" s="110">
        <v>5300.0</v>
      </c>
      <c r="L20" s="110">
        <v>6300.0</v>
      </c>
      <c r="M20" s="110">
        <v>6300.0</v>
      </c>
      <c r="N20" s="110">
        <v>5900.0</v>
      </c>
      <c r="O20" s="110">
        <v>6900.0</v>
      </c>
      <c r="P20" s="110">
        <v>6900.0</v>
      </c>
      <c r="Q20" s="110">
        <v>5900.0</v>
      </c>
      <c r="R20" s="110">
        <v>6900.0</v>
      </c>
      <c r="S20" s="110">
        <v>6900.0</v>
      </c>
      <c r="T20" s="66"/>
      <c r="U20" s="66"/>
    </row>
    <row r="21" ht="15.75" customHeight="1">
      <c r="A21" s="109">
        <v>70.0</v>
      </c>
      <c r="B21" s="109">
        <v>5200.0</v>
      </c>
      <c r="C21" s="109">
        <v>6200.0</v>
      </c>
      <c r="D21" s="109">
        <v>6200.0</v>
      </c>
      <c r="E21" s="109">
        <v>4700.0</v>
      </c>
      <c r="F21" s="109">
        <v>5700.0</v>
      </c>
      <c r="G21" s="109">
        <v>5700.0</v>
      </c>
      <c r="H21" s="110">
        <v>4500.0</v>
      </c>
      <c r="I21" s="110">
        <v>5500.0</v>
      </c>
      <c r="J21" s="110">
        <v>5500.0</v>
      </c>
      <c r="K21" s="110">
        <v>5300.0</v>
      </c>
      <c r="L21" s="110">
        <v>6300.0</v>
      </c>
      <c r="M21" s="110">
        <v>6300.0</v>
      </c>
      <c r="N21" s="110">
        <v>5900.0</v>
      </c>
      <c r="O21" s="110">
        <v>6900.0</v>
      </c>
      <c r="P21" s="110">
        <v>6900.0</v>
      </c>
      <c r="Q21" s="110">
        <v>5900.0</v>
      </c>
      <c r="R21" s="110">
        <v>6900.0</v>
      </c>
      <c r="S21" s="110">
        <v>6900.0</v>
      </c>
      <c r="T21" s="66"/>
      <c r="U21" s="66"/>
    </row>
    <row r="22" ht="15.75" customHeight="1">
      <c r="A22" s="109">
        <v>75.0</v>
      </c>
      <c r="B22" s="109">
        <v>5200.0</v>
      </c>
      <c r="C22" s="109">
        <v>6200.0</v>
      </c>
      <c r="D22" s="109">
        <v>6200.0</v>
      </c>
      <c r="E22" s="109">
        <v>4700.0</v>
      </c>
      <c r="F22" s="109">
        <v>5700.0</v>
      </c>
      <c r="G22" s="109">
        <v>5700.0</v>
      </c>
      <c r="H22" s="110">
        <v>4500.0</v>
      </c>
      <c r="I22" s="110">
        <v>5500.0</v>
      </c>
      <c r="J22" s="110">
        <v>5500.0</v>
      </c>
      <c r="K22" s="110">
        <v>5200.0</v>
      </c>
      <c r="L22" s="110">
        <v>6200.0</v>
      </c>
      <c r="M22" s="110">
        <v>6200.0</v>
      </c>
      <c r="N22" s="110">
        <v>5700.0</v>
      </c>
      <c r="O22" s="110">
        <v>6700.0</v>
      </c>
      <c r="P22" s="110">
        <v>6700.0</v>
      </c>
      <c r="Q22" s="110">
        <v>5900.0</v>
      </c>
      <c r="R22" s="110">
        <v>6900.0</v>
      </c>
      <c r="S22" s="110">
        <v>6900.0</v>
      </c>
      <c r="T22" s="66"/>
      <c r="U22" s="66"/>
    </row>
    <row r="23" ht="15.75" customHeight="1">
      <c r="A23" s="109">
        <v>80.0</v>
      </c>
      <c r="B23" s="109">
        <v>5200.0</v>
      </c>
      <c r="C23" s="109">
        <v>6200.0</v>
      </c>
      <c r="D23" s="109">
        <v>6200.0</v>
      </c>
      <c r="E23" s="109">
        <v>4600.0</v>
      </c>
      <c r="F23" s="109">
        <v>5600.0</v>
      </c>
      <c r="G23" s="109">
        <v>5600.0</v>
      </c>
      <c r="H23" s="110">
        <v>4500.0</v>
      </c>
      <c r="I23" s="110">
        <v>5500.0</v>
      </c>
      <c r="J23" s="110">
        <v>5500.0</v>
      </c>
      <c r="K23" s="110">
        <v>5200.0</v>
      </c>
      <c r="L23" s="110">
        <v>6200.0</v>
      </c>
      <c r="M23" s="110">
        <v>6200.0</v>
      </c>
      <c r="N23" s="110">
        <v>5700.0</v>
      </c>
      <c r="O23" s="110">
        <v>6700.0</v>
      </c>
      <c r="P23" s="110">
        <v>6700.0</v>
      </c>
      <c r="Q23" s="110">
        <v>5900.0</v>
      </c>
      <c r="R23" s="110">
        <v>6900.0</v>
      </c>
      <c r="S23" s="110">
        <v>6900.0</v>
      </c>
      <c r="T23" s="66"/>
      <c r="U23" s="66"/>
    </row>
    <row r="24" ht="15.75" customHeight="1">
      <c r="A24" s="109">
        <v>90.0</v>
      </c>
      <c r="B24" s="109">
        <v>5200.0</v>
      </c>
      <c r="C24" s="109">
        <v>6200.0</v>
      </c>
      <c r="D24" s="109">
        <v>6200.0</v>
      </c>
      <c r="E24" s="109">
        <v>4600.0</v>
      </c>
      <c r="F24" s="109">
        <v>5600.0</v>
      </c>
      <c r="G24" s="109">
        <v>5600.0</v>
      </c>
      <c r="H24" s="110">
        <v>4500.0</v>
      </c>
      <c r="I24" s="110">
        <v>5500.0</v>
      </c>
      <c r="J24" s="110">
        <v>5500.0</v>
      </c>
      <c r="K24" s="110">
        <v>5200.0</v>
      </c>
      <c r="L24" s="110">
        <v>6200.0</v>
      </c>
      <c r="M24" s="110">
        <v>6200.0</v>
      </c>
      <c r="N24" s="110">
        <v>5700.0</v>
      </c>
      <c r="O24" s="110">
        <v>6700.0</v>
      </c>
      <c r="P24" s="110">
        <v>6700.0</v>
      </c>
      <c r="Q24" s="110">
        <v>5700.0</v>
      </c>
      <c r="R24" s="110">
        <v>6700.0</v>
      </c>
      <c r="S24" s="110">
        <v>6700.0</v>
      </c>
      <c r="T24" s="66"/>
      <c r="U24" s="66"/>
    </row>
    <row r="25" ht="15.75" customHeight="1">
      <c r="A25" s="109">
        <v>100.0</v>
      </c>
      <c r="B25" s="109">
        <v>5200.0</v>
      </c>
      <c r="C25" s="109">
        <v>6200.0</v>
      </c>
      <c r="D25" s="109">
        <v>6200.0</v>
      </c>
      <c r="E25" s="109">
        <v>4600.0</v>
      </c>
      <c r="F25" s="109">
        <v>5600.0</v>
      </c>
      <c r="G25" s="109">
        <v>5600.0</v>
      </c>
      <c r="H25" s="110">
        <v>4500.0</v>
      </c>
      <c r="I25" s="110">
        <v>5500.0</v>
      </c>
      <c r="J25" s="110">
        <v>5500.0</v>
      </c>
      <c r="K25" s="110">
        <v>5200.0</v>
      </c>
      <c r="L25" s="110">
        <v>6200.0</v>
      </c>
      <c r="M25" s="110">
        <v>6200.0</v>
      </c>
      <c r="N25" s="110">
        <v>5700.0</v>
      </c>
      <c r="O25" s="110">
        <v>6700.0</v>
      </c>
      <c r="P25" s="110">
        <v>6700.0</v>
      </c>
      <c r="Q25" s="110">
        <v>5700.0</v>
      </c>
      <c r="R25" s="110">
        <v>6700.0</v>
      </c>
      <c r="S25" s="110">
        <v>6700.0</v>
      </c>
      <c r="T25" s="66"/>
      <c r="U25" s="66"/>
    </row>
    <row r="26" ht="15.75" customHeight="1">
      <c r="A26" s="109">
        <v>120.0</v>
      </c>
      <c r="B26" s="109">
        <v>5100.0</v>
      </c>
      <c r="C26" s="109">
        <v>6100.0</v>
      </c>
      <c r="D26" s="109">
        <v>6100.0</v>
      </c>
      <c r="E26" s="109">
        <v>4600.0</v>
      </c>
      <c r="F26" s="109">
        <v>5600.0</v>
      </c>
      <c r="G26" s="109">
        <v>5600.0</v>
      </c>
      <c r="H26" s="110">
        <v>4400.0</v>
      </c>
      <c r="I26" s="110">
        <v>5400.0</v>
      </c>
      <c r="J26" s="110">
        <v>5400.0</v>
      </c>
      <c r="K26" s="110">
        <v>5200.0</v>
      </c>
      <c r="L26" s="110">
        <v>6200.0</v>
      </c>
      <c r="M26" s="110">
        <v>6200.0</v>
      </c>
      <c r="N26" s="110">
        <v>5700.0</v>
      </c>
      <c r="O26" s="110">
        <v>6700.0</v>
      </c>
      <c r="P26" s="110">
        <v>6700.0</v>
      </c>
      <c r="Q26" s="110">
        <v>5700.0</v>
      </c>
      <c r="R26" s="110">
        <v>6700.0</v>
      </c>
      <c r="S26" s="110">
        <v>6700.0</v>
      </c>
      <c r="T26" s="66"/>
      <c r="U26" s="66"/>
    </row>
    <row r="27" ht="15.75" customHeight="1">
      <c r="A27" s="113">
        <v>125.0</v>
      </c>
      <c r="B27" s="109">
        <v>5100.0</v>
      </c>
      <c r="C27" s="109">
        <v>6100.0</v>
      </c>
      <c r="D27" s="109">
        <v>6100.0</v>
      </c>
      <c r="E27" s="109">
        <v>4600.0</v>
      </c>
      <c r="F27" s="109">
        <v>5600.0</v>
      </c>
      <c r="G27" s="109">
        <v>5600.0</v>
      </c>
      <c r="H27" s="110">
        <v>4400.0</v>
      </c>
      <c r="I27" s="110">
        <v>5400.0</v>
      </c>
      <c r="J27" s="110">
        <v>5400.0</v>
      </c>
      <c r="K27" s="110">
        <v>5000.0</v>
      </c>
      <c r="L27" s="110">
        <v>6000.0</v>
      </c>
      <c r="M27" s="110">
        <v>6000.0</v>
      </c>
      <c r="N27" s="110">
        <v>5700.0</v>
      </c>
      <c r="O27" s="110">
        <v>6700.0</v>
      </c>
      <c r="P27" s="110">
        <v>6700.0</v>
      </c>
      <c r="Q27" s="110">
        <v>5700.0</v>
      </c>
      <c r="R27" s="110">
        <v>6700.0</v>
      </c>
      <c r="S27" s="110">
        <v>6700.0</v>
      </c>
      <c r="T27" s="66"/>
      <c r="U27" s="66"/>
    </row>
    <row r="28" ht="15.75" customHeight="1">
      <c r="A28" s="113">
        <v>140.0</v>
      </c>
      <c r="B28" s="109">
        <v>5000.0</v>
      </c>
      <c r="C28" s="109">
        <v>6000.0</v>
      </c>
      <c r="D28" s="109">
        <v>6000.0</v>
      </c>
      <c r="E28" s="109">
        <v>4500.0</v>
      </c>
      <c r="F28" s="109">
        <v>5500.0</v>
      </c>
      <c r="G28" s="109">
        <v>5500.0</v>
      </c>
      <c r="H28" s="110">
        <v>4400.0</v>
      </c>
      <c r="I28" s="110">
        <v>5400.0</v>
      </c>
      <c r="J28" s="110">
        <v>5400.0</v>
      </c>
      <c r="K28" s="110">
        <v>5000.0</v>
      </c>
      <c r="L28" s="110">
        <v>6000.0</v>
      </c>
      <c r="M28" s="110">
        <v>6000.0</v>
      </c>
      <c r="N28" s="110">
        <v>5700.0</v>
      </c>
      <c r="O28" s="110">
        <v>6700.0</v>
      </c>
      <c r="P28" s="110">
        <v>6700.0</v>
      </c>
      <c r="Q28" s="110">
        <v>5700.0</v>
      </c>
      <c r="R28" s="110">
        <v>6700.0</v>
      </c>
      <c r="S28" s="110">
        <v>6700.0</v>
      </c>
      <c r="T28" s="68"/>
      <c r="U28" s="66"/>
    </row>
    <row r="29" ht="15.75" customHeight="1">
      <c r="A29" s="113">
        <v>150.0</v>
      </c>
      <c r="B29" s="109">
        <v>5000.0</v>
      </c>
      <c r="C29" s="109">
        <v>6000.0</v>
      </c>
      <c r="D29" s="109">
        <v>6000.0</v>
      </c>
      <c r="E29" s="109">
        <v>4500.0</v>
      </c>
      <c r="F29" s="109">
        <v>5500.0</v>
      </c>
      <c r="G29" s="109">
        <v>5500.0</v>
      </c>
      <c r="H29" s="110">
        <v>4400.0</v>
      </c>
      <c r="I29" s="110">
        <v>5400.0</v>
      </c>
      <c r="J29" s="110">
        <v>5400.0</v>
      </c>
      <c r="K29" s="110">
        <v>5000.0</v>
      </c>
      <c r="L29" s="110">
        <v>6000.0</v>
      </c>
      <c r="M29" s="110">
        <v>6000.0</v>
      </c>
      <c r="N29" s="110">
        <v>5700.0</v>
      </c>
      <c r="O29" s="110">
        <v>6700.0</v>
      </c>
      <c r="P29" s="110">
        <v>6700.0</v>
      </c>
      <c r="Q29" s="110">
        <v>5700.0</v>
      </c>
      <c r="R29" s="110">
        <v>6700.0</v>
      </c>
      <c r="S29" s="110">
        <v>6700.0</v>
      </c>
      <c r="T29" s="66"/>
      <c r="U29" s="66"/>
    </row>
    <row r="30" ht="15.75" customHeight="1">
      <c r="A30" s="109">
        <v>160.0</v>
      </c>
      <c r="B30" s="109">
        <v>4800.0</v>
      </c>
      <c r="C30" s="109">
        <v>5800.0</v>
      </c>
      <c r="D30" s="109">
        <v>5800.0</v>
      </c>
      <c r="E30" s="109">
        <v>4500.0</v>
      </c>
      <c r="F30" s="109">
        <v>5500.0</v>
      </c>
      <c r="G30" s="109">
        <v>5500.0</v>
      </c>
      <c r="H30" s="110">
        <v>4300.0</v>
      </c>
      <c r="I30" s="110">
        <v>5300.0</v>
      </c>
      <c r="J30" s="110">
        <v>5300.0</v>
      </c>
      <c r="K30" s="110">
        <v>4800.0</v>
      </c>
      <c r="L30" s="110">
        <v>5800.0</v>
      </c>
      <c r="M30" s="110">
        <v>5800.0</v>
      </c>
      <c r="N30" s="110">
        <v>5700.0</v>
      </c>
      <c r="O30" s="110">
        <v>6700.0</v>
      </c>
      <c r="P30" s="110">
        <v>6700.0</v>
      </c>
      <c r="Q30" s="110">
        <v>5700.0</v>
      </c>
      <c r="R30" s="110">
        <v>6700.0</v>
      </c>
      <c r="S30" s="110">
        <v>6700.0</v>
      </c>
      <c r="T30" s="66"/>
      <c r="U30" s="66"/>
    </row>
    <row r="31" ht="15.75" customHeight="1">
      <c r="A31" s="109">
        <v>175.0</v>
      </c>
      <c r="B31" s="109">
        <v>4800.0</v>
      </c>
      <c r="C31" s="109">
        <v>5800.0</v>
      </c>
      <c r="D31" s="109">
        <v>5800.0</v>
      </c>
      <c r="E31" s="109">
        <v>4500.0</v>
      </c>
      <c r="F31" s="109">
        <v>5500.0</v>
      </c>
      <c r="G31" s="109">
        <v>5500.0</v>
      </c>
      <c r="H31" s="110">
        <v>4300.0</v>
      </c>
      <c r="I31" s="110">
        <v>5300.0</v>
      </c>
      <c r="J31" s="110">
        <v>5300.0</v>
      </c>
      <c r="K31" s="110">
        <v>4800.0</v>
      </c>
      <c r="L31" s="110">
        <v>5800.0</v>
      </c>
      <c r="M31" s="110">
        <v>5800.0</v>
      </c>
      <c r="N31" s="110">
        <v>5500.0</v>
      </c>
      <c r="O31" s="110">
        <v>6500.0</v>
      </c>
      <c r="P31" s="110">
        <v>6500.0</v>
      </c>
      <c r="Q31" s="110">
        <v>5500.0</v>
      </c>
      <c r="R31" s="110">
        <v>6500.0</v>
      </c>
      <c r="S31" s="110">
        <v>6500.0</v>
      </c>
      <c r="T31" s="66"/>
      <c r="U31" s="66"/>
    </row>
    <row r="32" ht="15.75" customHeight="1">
      <c r="A32" s="109">
        <v>180.0</v>
      </c>
      <c r="B32" s="109">
        <v>4800.0</v>
      </c>
      <c r="C32" s="109">
        <v>5800.0</v>
      </c>
      <c r="D32" s="109">
        <v>5800.0</v>
      </c>
      <c r="E32" s="109">
        <v>4400.0</v>
      </c>
      <c r="F32" s="109">
        <v>5400.0</v>
      </c>
      <c r="G32" s="109">
        <v>5400.0</v>
      </c>
      <c r="H32" s="110">
        <v>4300.0</v>
      </c>
      <c r="I32" s="110">
        <v>5300.0</v>
      </c>
      <c r="J32" s="110">
        <v>5300.0</v>
      </c>
      <c r="K32" s="110">
        <v>4800.0</v>
      </c>
      <c r="L32" s="110">
        <v>5800.0</v>
      </c>
      <c r="M32" s="110">
        <v>5800.0</v>
      </c>
      <c r="N32" s="110">
        <v>5500.0</v>
      </c>
      <c r="O32" s="110">
        <v>6500.0</v>
      </c>
      <c r="P32" s="110">
        <v>6500.0</v>
      </c>
      <c r="Q32" s="110">
        <v>5500.0</v>
      </c>
      <c r="R32" s="110">
        <v>6500.0</v>
      </c>
      <c r="S32" s="110">
        <v>6500.0</v>
      </c>
      <c r="T32" s="66"/>
      <c r="U32" s="66"/>
    </row>
    <row r="33" ht="15.75" customHeight="1">
      <c r="A33" s="109">
        <v>200.0</v>
      </c>
      <c r="B33" s="109">
        <v>4800.0</v>
      </c>
      <c r="C33" s="109">
        <v>5800.0</v>
      </c>
      <c r="D33" s="109">
        <v>5800.0</v>
      </c>
      <c r="E33" s="109">
        <v>4400.0</v>
      </c>
      <c r="F33" s="109">
        <v>5400.0</v>
      </c>
      <c r="G33" s="109">
        <v>5400.0</v>
      </c>
      <c r="H33" s="110">
        <v>4300.0</v>
      </c>
      <c r="I33" s="110">
        <v>5300.0</v>
      </c>
      <c r="J33" s="110">
        <v>5300.0</v>
      </c>
      <c r="K33" s="110">
        <v>4800.0</v>
      </c>
      <c r="L33" s="110">
        <v>5800.0</v>
      </c>
      <c r="M33" s="110">
        <v>5800.0</v>
      </c>
      <c r="N33" s="110">
        <v>5300.0</v>
      </c>
      <c r="O33" s="110">
        <v>6300.0</v>
      </c>
      <c r="P33" s="110">
        <v>6300.0</v>
      </c>
      <c r="Q33" s="110">
        <v>5300.0</v>
      </c>
      <c r="R33" s="110">
        <v>6300.0</v>
      </c>
      <c r="S33" s="110">
        <v>6300.0</v>
      </c>
      <c r="T33" s="66"/>
      <c r="U33" s="66"/>
    </row>
    <row r="34" ht="15.75" customHeight="1">
      <c r="A34" s="109">
        <v>250.0</v>
      </c>
      <c r="B34" s="109">
        <v>4600.0</v>
      </c>
      <c r="C34" s="109">
        <v>5600.0</v>
      </c>
      <c r="D34" s="109">
        <v>5600.0</v>
      </c>
      <c r="E34" s="109">
        <v>4200.0</v>
      </c>
      <c r="F34" s="109">
        <v>5200.0</v>
      </c>
      <c r="G34" s="109">
        <v>5200.0</v>
      </c>
      <c r="H34" s="110">
        <v>4200.0</v>
      </c>
      <c r="I34" s="110">
        <v>5200.0</v>
      </c>
      <c r="J34" s="110">
        <v>5200.0</v>
      </c>
      <c r="K34" s="110">
        <v>4600.0</v>
      </c>
      <c r="L34" s="110">
        <v>5600.0</v>
      </c>
      <c r="M34" s="110">
        <v>5600.0</v>
      </c>
      <c r="N34" s="110">
        <v>5100.0</v>
      </c>
      <c r="O34" s="110">
        <v>6100.0</v>
      </c>
      <c r="P34" s="110">
        <v>6100.0</v>
      </c>
      <c r="Q34" s="110">
        <v>5100.0</v>
      </c>
      <c r="R34" s="110">
        <v>6100.0</v>
      </c>
      <c r="S34" s="110">
        <v>6100.0</v>
      </c>
      <c r="T34" s="66"/>
      <c r="U34" s="66"/>
    </row>
    <row r="35" ht="15.75" customHeight="1">
      <c r="A35" s="109">
        <v>300.0</v>
      </c>
      <c r="B35" s="109">
        <v>4400.0</v>
      </c>
      <c r="C35" s="109">
        <v>5400.0</v>
      </c>
      <c r="D35" s="109">
        <v>5400.0</v>
      </c>
      <c r="E35" s="109">
        <v>4000.0</v>
      </c>
      <c r="F35" s="109">
        <v>5000.0</v>
      </c>
      <c r="G35" s="109">
        <v>5000.0</v>
      </c>
      <c r="H35" s="110">
        <v>4000.0</v>
      </c>
      <c r="I35" s="110">
        <v>5000.0</v>
      </c>
      <c r="J35" s="110">
        <v>5000.0</v>
      </c>
      <c r="K35" s="110">
        <v>4400.0</v>
      </c>
      <c r="L35" s="110">
        <v>5400.0</v>
      </c>
      <c r="M35" s="110">
        <v>5400.0</v>
      </c>
      <c r="N35" s="110">
        <v>4900.0</v>
      </c>
      <c r="O35" s="110">
        <v>5900.0</v>
      </c>
      <c r="P35" s="110">
        <v>5900.0</v>
      </c>
      <c r="Q35" s="110">
        <v>4900.0</v>
      </c>
      <c r="R35" s="110">
        <v>5900.0</v>
      </c>
      <c r="S35" s="110">
        <v>5900.0</v>
      </c>
      <c r="T35" s="66"/>
      <c r="U35" s="66"/>
    </row>
    <row r="36" ht="15.75" customHeight="1">
      <c r="A36" s="109">
        <v>350.0</v>
      </c>
      <c r="B36" s="109">
        <v>4200.0</v>
      </c>
      <c r="C36" s="109">
        <v>5200.0</v>
      </c>
      <c r="D36" s="109">
        <v>5200.0</v>
      </c>
      <c r="E36" s="109">
        <v>3800.0</v>
      </c>
      <c r="F36" s="109">
        <v>4800.0</v>
      </c>
      <c r="G36" s="109">
        <v>4800.0</v>
      </c>
      <c r="H36" s="110">
        <v>3800.0</v>
      </c>
      <c r="I36" s="110">
        <v>4800.0</v>
      </c>
      <c r="J36" s="110">
        <v>4800.0</v>
      </c>
      <c r="K36" s="110">
        <v>4200.0</v>
      </c>
      <c r="L36" s="110">
        <v>5200.0</v>
      </c>
      <c r="M36" s="110">
        <v>5200.0</v>
      </c>
      <c r="N36" s="110">
        <v>4700.0</v>
      </c>
      <c r="O36" s="110">
        <v>5700.0</v>
      </c>
      <c r="P36" s="110">
        <v>5700.0</v>
      </c>
      <c r="Q36" s="110">
        <v>4700.0</v>
      </c>
      <c r="R36" s="110">
        <v>5700.0</v>
      </c>
      <c r="S36" s="110">
        <v>5700.0</v>
      </c>
      <c r="T36" s="66"/>
      <c r="U36" s="66"/>
    </row>
    <row r="37" ht="15.75" customHeight="1">
      <c r="A37" s="109">
        <v>400.0</v>
      </c>
      <c r="B37" s="109">
        <v>4000.0</v>
      </c>
      <c r="C37" s="109">
        <v>5000.0</v>
      </c>
      <c r="D37" s="109">
        <v>5000.0</v>
      </c>
      <c r="E37" s="109">
        <v>3700.0</v>
      </c>
      <c r="F37" s="109">
        <v>4700.0</v>
      </c>
      <c r="G37" s="109">
        <v>4700.0</v>
      </c>
      <c r="H37" s="110">
        <v>3500.0</v>
      </c>
      <c r="I37" s="110">
        <v>4500.0</v>
      </c>
      <c r="J37" s="110">
        <v>4500.0</v>
      </c>
      <c r="K37" s="110">
        <v>4000.0</v>
      </c>
      <c r="L37" s="110">
        <v>5000.0</v>
      </c>
      <c r="M37" s="110">
        <v>5000.0</v>
      </c>
      <c r="N37" s="110">
        <v>4500.0</v>
      </c>
      <c r="O37" s="110">
        <v>5500.0</v>
      </c>
      <c r="P37" s="110">
        <v>5500.0</v>
      </c>
      <c r="Q37" s="110">
        <v>4500.0</v>
      </c>
      <c r="R37" s="110">
        <v>5500.0</v>
      </c>
      <c r="S37" s="110">
        <v>5500.0</v>
      </c>
      <c r="T37" s="66"/>
      <c r="U37" s="66"/>
    </row>
    <row r="38" ht="15.75" customHeight="1">
      <c r="A38" s="109">
        <v>450.0</v>
      </c>
      <c r="B38" s="109">
        <v>4000.0</v>
      </c>
      <c r="C38" s="109">
        <v>5000.0</v>
      </c>
      <c r="D38" s="109">
        <v>5000.0</v>
      </c>
      <c r="E38" s="109">
        <v>3600.0</v>
      </c>
      <c r="F38" s="109">
        <v>4600.0</v>
      </c>
      <c r="G38" s="109">
        <v>4600.0</v>
      </c>
      <c r="H38" s="110">
        <v>3500.0</v>
      </c>
      <c r="I38" s="110">
        <v>4500.0</v>
      </c>
      <c r="J38" s="110">
        <v>4500.0</v>
      </c>
      <c r="K38" s="110">
        <v>4000.0</v>
      </c>
      <c r="L38" s="110">
        <v>5000.0</v>
      </c>
      <c r="M38" s="110">
        <v>5000.0</v>
      </c>
      <c r="N38" s="110">
        <v>4500.0</v>
      </c>
      <c r="O38" s="110">
        <v>5500.0</v>
      </c>
      <c r="P38" s="110">
        <v>5500.0</v>
      </c>
      <c r="Q38" s="110">
        <v>4500.0</v>
      </c>
      <c r="R38" s="110">
        <v>5500.0</v>
      </c>
      <c r="S38" s="110">
        <v>5500.0</v>
      </c>
      <c r="T38" s="66"/>
      <c r="U38" s="66"/>
    </row>
    <row r="39" ht="15.75" customHeight="1">
      <c r="A39" s="112">
        <v>500.0</v>
      </c>
      <c r="B39" s="109">
        <v>4000.0</v>
      </c>
      <c r="C39" s="109">
        <v>5000.0</v>
      </c>
      <c r="D39" s="109">
        <v>5000.0</v>
      </c>
      <c r="E39" s="109">
        <v>3600.0</v>
      </c>
      <c r="F39" s="109">
        <v>4600.0</v>
      </c>
      <c r="G39" s="109">
        <v>4600.0</v>
      </c>
      <c r="H39" s="110">
        <v>3500.0</v>
      </c>
      <c r="I39" s="110">
        <v>4500.0</v>
      </c>
      <c r="J39" s="110">
        <v>4500.0</v>
      </c>
      <c r="K39" s="110">
        <v>4000.0</v>
      </c>
      <c r="L39" s="110">
        <v>5000.0</v>
      </c>
      <c r="M39" s="110">
        <v>5000.0</v>
      </c>
      <c r="N39" s="110">
        <v>4500.0</v>
      </c>
      <c r="O39" s="110">
        <v>5500.0</v>
      </c>
      <c r="P39" s="110">
        <v>5500.0</v>
      </c>
      <c r="Q39" s="110">
        <v>4500.0</v>
      </c>
      <c r="R39" s="110">
        <v>5500.0</v>
      </c>
      <c r="S39" s="110">
        <v>5500.0</v>
      </c>
      <c r="T39" s="66"/>
      <c r="U39" s="66"/>
    </row>
    <row r="40" ht="15.75" customHeight="1">
      <c r="A40" s="83">
        <v>100000.0</v>
      </c>
      <c r="B40" s="109">
        <v>4000.0</v>
      </c>
      <c r="C40" s="114">
        <v>5000.0</v>
      </c>
      <c r="D40" s="114">
        <v>5000.0</v>
      </c>
      <c r="E40" s="109">
        <v>3600.0</v>
      </c>
      <c r="F40" s="114">
        <v>4600.0</v>
      </c>
      <c r="G40" s="114">
        <v>4600.0</v>
      </c>
      <c r="H40" s="110">
        <v>3500.0</v>
      </c>
      <c r="I40" s="110">
        <v>4500.0</v>
      </c>
      <c r="J40" s="110">
        <v>4500.0</v>
      </c>
      <c r="K40" s="110">
        <v>4000.0</v>
      </c>
      <c r="L40" s="110">
        <v>5000.0</v>
      </c>
      <c r="M40" s="110">
        <v>5000.0</v>
      </c>
      <c r="N40" s="110">
        <v>4500.0</v>
      </c>
      <c r="O40" s="110">
        <v>5500.0</v>
      </c>
      <c r="P40" s="110">
        <v>5500.0</v>
      </c>
      <c r="Q40" s="110">
        <v>4500.0</v>
      </c>
      <c r="R40" s="110">
        <v>5500.0</v>
      </c>
      <c r="S40" s="110">
        <v>5500.0</v>
      </c>
      <c r="T40" s="66"/>
      <c r="U40" s="66"/>
    </row>
    <row r="41" ht="15.75" customHeight="1">
      <c r="T41" s="66"/>
      <c r="U41" s="66"/>
    </row>
    <row r="42" ht="15.75" customHeight="1">
      <c r="T42" s="66"/>
      <c r="U42" s="66"/>
    </row>
    <row r="43" ht="15.75" customHeight="1">
      <c r="A43" s="115"/>
      <c r="T43" s="66"/>
      <c r="U43" s="66"/>
    </row>
    <row r="44" ht="15.75" customHeight="1">
      <c r="A44" s="111"/>
      <c r="T44" s="66"/>
      <c r="U44" s="66"/>
    </row>
    <row r="45" ht="24.75" customHeight="1">
      <c r="A45" s="61" t="s">
        <v>405</v>
      </c>
      <c r="G45" s="100" t="s">
        <v>406</v>
      </c>
      <c r="T45" s="66"/>
      <c r="U45" s="66"/>
    </row>
    <row r="46" ht="15.75" customHeight="1">
      <c r="A46" s="1" t="s">
        <v>387</v>
      </c>
      <c r="B46" s="64" t="s">
        <v>232</v>
      </c>
      <c r="C46" s="116" t="s">
        <v>407</v>
      </c>
      <c r="D46" s="116" t="s">
        <v>233</v>
      </c>
      <c r="E46" s="116" t="s">
        <v>408</v>
      </c>
      <c r="F46" s="116" t="s">
        <v>409</v>
      </c>
      <c r="T46" s="66"/>
      <c r="U46" s="66"/>
    </row>
    <row r="47" ht="15.75" customHeight="1">
      <c r="A47" s="75">
        <v>1.0</v>
      </c>
      <c r="B47" s="75">
        <v>4000.0</v>
      </c>
      <c r="C47" s="75">
        <v>6000.0</v>
      </c>
      <c r="D47" s="75">
        <v>8000.0</v>
      </c>
      <c r="E47" s="75">
        <v>12000.0</v>
      </c>
      <c r="F47" s="75">
        <v>16000.0</v>
      </c>
      <c r="H47" s="117"/>
      <c r="T47" s="66"/>
      <c r="U47" s="66"/>
    </row>
    <row r="48" ht="15.75" customHeight="1">
      <c r="A48" s="75">
        <v>20.0</v>
      </c>
      <c r="B48" s="75">
        <v>3880.0</v>
      </c>
      <c r="C48" s="75">
        <v>5820.0</v>
      </c>
      <c r="D48" s="75">
        <v>7760.0</v>
      </c>
      <c r="E48" s="75">
        <v>11640.0</v>
      </c>
      <c r="F48" s="75">
        <v>15520.0</v>
      </c>
      <c r="T48" s="66"/>
      <c r="U48" s="66"/>
    </row>
    <row r="49" ht="15.75" customHeight="1">
      <c r="A49" s="75">
        <v>50.0</v>
      </c>
      <c r="B49" s="75">
        <v>3800.0</v>
      </c>
      <c r="C49" s="75">
        <v>5700.0</v>
      </c>
      <c r="D49" s="75">
        <v>7600.0</v>
      </c>
      <c r="E49" s="75">
        <v>11400.0</v>
      </c>
      <c r="F49" s="75">
        <v>15200.0</v>
      </c>
      <c r="T49" s="66"/>
      <c r="U49" s="66"/>
    </row>
    <row r="50" ht="15.75" customHeight="1">
      <c r="A50" s="75">
        <v>100.0</v>
      </c>
      <c r="B50" s="75">
        <v>3600.0</v>
      </c>
      <c r="C50" s="75">
        <v>5400.0</v>
      </c>
      <c r="D50" s="75">
        <v>7200.0</v>
      </c>
      <c r="E50" s="75">
        <v>10800.0</v>
      </c>
      <c r="F50" s="75">
        <v>14400.0</v>
      </c>
      <c r="T50" s="66"/>
      <c r="U50" s="66"/>
    </row>
    <row r="51" ht="15.75" customHeight="1">
      <c r="A51" s="75">
        <v>200.0</v>
      </c>
      <c r="B51" s="75">
        <v>3400.0</v>
      </c>
      <c r="C51" s="75">
        <v>5100.0</v>
      </c>
      <c r="D51" s="75">
        <v>6800.0</v>
      </c>
      <c r="E51" s="75">
        <v>10200.0</v>
      </c>
      <c r="F51" s="75">
        <v>13600.0</v>
      </c>
      <c r="T51" s="66"/>
      <c r="U51" s="66"/>
    </row>
    <row r="52" ht="15.75" customHeight="1">
      <c r="A52" s="75">
        <v>300.0</v>
      </c>
      <c r="B52" s="75">
        <v>3200.0</v>
      </c>
      <c r="C52" s="75">
        <v>4800.0</v>
      </c>
      <c r="D52" s="75">
        <v>6400.0</v>
      </c>
      <c r="E52" s="75">
        <v>9600.0</v>
      </c>
      <c r="F52" s="75">
        <v>12800.0</v>
      </c>
      <c r="T52" s="66"/>
      <c r="U52" s="66"/>
    </row>
    <row r="53" ht="15.75" customHeight="1">
      <c r="T53" s="66"/>
      <c r="U53" s="66"/>
    </row>
    <row r="54" ht="15.75" customHeight="1">
      <c r="T54" s="66"/>
      <c r="U54" s="66"/>
    </row>
    <row r="55" ht="15.75" customHeight="1">
      <c r="T55" s="66"/>
      <c r="U55" s="66"/>
    </row>
    <row r="56" ht="22.5" customHeight="1">
      <c r="A56" s="61" t="s">
        <v>410</v>
      </c>
      <c r="G56" s="100" t="s">
        <v>406</v>
      </c>
      <c r="T56" s="66"/>
      <c r="U56" s="66"/>
    </row>
    <row r="57" ht="15.75" customHeight="1">
      <c r="A57" s="1" t="s">
        <v>387</v>
      </c>
      <c r="B57" s="64" t="s">
        <v>232</v>
      </c>
      <c r="C57" s="116" t="s">
        <v>407</v>
      </c>
      <c r="D57" s="116" t="s">
        <v>233</v>
      </c>
      <c r="E57" s="116" t="s">
        <v>408</v>
      </c>
      <c r="F57" s="116" t="s">
        <v>409</v>
      </c>
      <c r="T57" s="66"/>
      <c r="U57" s="66"/>
    </row>
    <row r="58" ht="15.75" customHeight="1">
      <c r="A58" s="75">
        <v>1.0</v>
      </c>
      <c r="B58" s="75">
        <v>7000.0</v>
      </c>
      <c r="C58" s="75">
        <v>10500.0</v>
      </c>
      <c r="D58" s="75">
        <v>14000.0</v>
      </c>
      <c r="E58" s="75">
        <v>21000.0</v>
      </c>
      <c r="F58" s="75">
        <v>28000.0</v>
      </c>
    </row>
    <row r="59" ht="15.75" customHeight="1">
      <c r="A59" s="75">
        <v>20.0</v>
      </c>
      <c r="B59" s="75">
        <v>6790.0</v>
      </c>
      <c r="C59" s="75">
        <v>10185.0</v>
      </c>
      <c r="D59" s="75">
        <v>13580.0</v>
      </c>
      <c r="E59" s="75">
        <v>20370.0</v>
      </c>
      <c r="F59" s="75">
        <v>27160.0</v>
      </c>
    </row>
    <row r="60" ht="15.75" customHeight="1">
      <c r="A60" s="75">
        <v>50.0</v>
      </c>
      <c r="B60" s="75">
        <v>6650.0</v>
      </c>
      <c r="C60" s="75">
        <v>9975.0</v>
      </c>
      <c r="D60" s="75">
        <v>13300.0</v>
      </c>
      <c r="E60" s="75">
        <v>19950.0</v>
      </c>
      <c r="F60" s="75">
        <v>26600.0</v>
      </c>
    </row>
    <row r="61" ht="15.75" customHeight="1">
      <c r="A61" s="75">
        <v>100.0</v>
      </c>
      <c r="B61" s="75">
        <v>6300.0</v>
      </c>
      <c r="C61" s="75">
        <v>9450.0</v>
      </c>
      <c r="D61" s="75">
        <v>12600.0</v>
      </c>
      <c r="E61" s="75">
        <v>18900.0</v>
      </c>
      <c r="F61" s="75">
        <v>25200.0</v>
      </c>
    </row>
    <row r="62" ht="15.75" customHeight="1">
      <c r="A62" s="75">
        <v>200.0</v>
      </c>
      <c r="B62" s="75">
        <v>5950.0</v>
      </c>
      <c r="C62" s="75">
        <v>8925.0</v>
      </c>
      <c r="D62" s="75">
        <v>11900.0</v>
      </c>
      <c r="E62" s="75">
        <v>17850.0</v>
      </c>
      <c r="F62" s="75">
        <v>23800.0</v>
      </c>
    </row>
    <row r="63" ht="15.75" customHeight="1">
      <c r="A63" s="75">
        <v>300.0</v>
      </c>
      <c r="B63" s="75">
        <v>5600.0</v>
      </c>
      <c r="C63" s="75">
        <v>8400.0</v>
      </c>
      <c r="D63" s="75">
        <v>11200.0</v>
      </c>
      <c r="E63" s="75">
        <v>16800.0</v>
      </c>
      <c r="F63" s="75">
        <v>22400.0</v>
      </c>
    </row>
    <row r="64" ht="15.75" customHeight="1"/>
    <row r="65" ht="15.75" customHeight="1"/>
    <row r="66" ht="15.75" customHeight="1"/>
    <row r="67" ht="26.25" customHeight="1">
      <c r="A67" s="61" t="s">
        <v>411</v>
      </c>
      <c r="C67" s="100" t="s">
        <v>406</v>
      </c>
      <c r="D67" s="65"/>
      <c r="E67" s="65"/>
      <c r="F67" s="65"/>
    </row>
    <row r="68" ht="15.75" customHeight="1">
      <c r="A68" s="1" t="s">
        <v>387</v>
      </c>
      <c r="B68" s="64" t="s">
        <v>412</v>
      </c>
    </row>
    <row r="69" ht="15.75" customHeight="1">
      <c r="A69" s="75">
        <v>1.0</v>
      </c>
      <c r="B69" s="75">
        <v>16000.0</v>
      </c>
    </row>
    <row r="70" ht="15.75" customHeight="1">
      <c r="A70" s="75">
        <v>20.0</v>
      </c>
      <c r="B70" s="75">
        <v>15520.0</v>
      </c>
    </row>
    <row r="71" ht="15.75" customHeight="1">
      <c r="A71" s="75">
        <v>50.0</v>
      </c>
      <c r="B71" s="75">
        <v>15200.0</v>
      </c>
    </row>
    <row r="72" ht="15.75" customHeight="1">
      <c r="A72" s="75">
        <v>100.0</v>
      </c>
      <c r="B72" s="75">
        <v>14400.0</v>
      </c>
    </row>
    <row r="73" ht="15.75" customHeight="1">
      <c r="A73" s="75">
        <v>200.0</v>
      </c>
      <c r="B73" s="75">
        <v>13600.0</v>
      </c>
    </row>
    <row r="74" ht="15.75" customHeight="1">
      <c r="A74" s="75">
        <v>300.0</v>
      </c>
      <c r="B74" s="75">
        <v>12800.0</v>
      </c>
    </row>
    <row r="75" ht="15.75" customHeight="1"/>
    <row r="76" ht="15.75" customHeight="1"/>
    <row r="77" ht="15.75" customHeight="1"/>
    <row r="78" ht="24.0" customHeight="1">
      <c r="A78" s="61" t="s">
        <v>413</v>
      </c>
      <c r="C78" s="118" t="s">
        <v>414</v>
      </c>
    </row>
    <row r="79" ht="15.75" customHeight="1">
      <c r="A79" s="1" t="s">
        <v>387</v>
      </c>
      <c r="B79" s="6" t="s">
        <v>415</v>
      </c>
      <c r="C79" s="119" t="s">
        <v>416</v>
      </c>
    </row>
    <row r="80" ht="15.75" customHeight="1">
      <c r="A80" s="120" t="s">
        <v>417</v>
      </c>
      <c r="B80" s="44">
        <v>2000.0</v>
      </c>
      <c r="E80" s="121"/>
    </row>
    <row r="81" ht="15.75" customHeight="1">
      <c r="A81" s="44">
        <v>3.0</v>
      </c>
      <c r="B81" s="44">
        <v>4000.0</v>
      </c>
      <c r="C81" s="122"/>
    </row>
    <row r="82" ht="15.75" customHeight="1">
      <c r="A82" s="30">
        <v>1000.0</v>
      </c>
      <c r="B82" s="44">
        <v>4000.0</v>
      </c>
    </row>
    <row r="83" ht="15.75" customHeight="1">
      <c r="A83" s="123"/>
      <c r="B83" s="123"/>
    </row>
    <row r="84" ht="15.75" customHeight="1">
      <c r="A84" s="123"/>
      <c r="B84" s="123"/>
    </row>
    <row r="85" ht="15.75" customHeight="1">
      <c r="A85" s="123"/>
      <c r="B85" s="123"/>
    </row>
    <row r="86" ht="25.5" customHeight="1">
      <c r="A86" s="61" t="s">
        <v>418</v>
      </c>
    </row>
    <row r="87" ht="15.75" customHeight="1">
      <c r="A87" s="1" t="s">
        <v>387</v>
      </c>
      <c r="B87" s="44" t="s">
        <v>293</v>
      </c>
    </row>
    <row r="88" ht="15.75" customHeight="1">
      <c r="A88" s="44">
        <v>1.0</v>
      </c>
      <c r="B88" s="44">
        <v>4000.0</v>
      </c>
    </row>
    <row r="89" ht="15.75" customHeight="1">
      <c r="A89" s="44">
        <v>1000.0</v>
      </c>
      <c r="B89" s="44">
        <v>4000.0</v>
      </c>
    </row>
    <row r="90" ht="15.75" customHeight="1">
      <c r="A90" s="123"/>
      <c r="B90" s="123"/>
    </row>
    <row r="91" ht="15.75" customHeight="1">
      <c r="A91" s="123"/>
      <c r="B91" s="123"/>
    </row>
    <row r="92" ht="15.75" customHeight="1">
      <c r="A92" s="123"/>
      <c r="B92" s="123"/>
    </row>
    <row r="93" ht="15.75" customHeight="1">
      <c r="A93" s="123"/>
      <c r="B93" s="123"/>
    </row>
    <row r="94" ht="15.75" customHeight="1"/>
    <row r="95" ht="15.75" customHeight="1">
      <c r="A95" s="76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</sheetData>
  <mergeCells count="12">
    <mergeCell ref="A45:F45"/>
    <mergeCell ref="A56:F56"/>
    <mergeCell ref="A67:B67"/>
    <mergeCell ref="A78:B78"/>
    <mergeCell ref="A86:B86"/>
    <mergeCell ref="A1:S1"/>
    <mergeCell ref="B2:D2"/>
    <mergeCell ref="E2:G2"/>
    <mergeCell ref="H2:J2"/>
    <mergeCell ref="K2:M2"/>
    <mergeCell ref="N2:P2"/>
    <mergeCell ref="Q2:S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1" width="10.13"/>
    <col customWidth="1" min="22" max="29" width="10.38"/>
  </cols>
  <sheetData>
    <row r="1" ht="21.0" customHeight="1">
      <c r="A1" s="61" t="s">
        <v>419</v>
      </c>
    </row>
    <row r="2" ht="21.0" customHeight="1">
      <c r="A2" s="65" t="s">
        <v>393</v>
      </c>
      <c r="B2" s="106" t="s">
        <v>420</v>
      </c>
      <c r="D2" s="106" t="s">
        <v>421</v>
      </c>
      <c r="F2" s="106" t="s">
        <v>422</v>
      </c>
      <c r="H2" s="106" t="s">
        <v>423</v>
      </c>
      <c r="J2" s="106" t="s">
        <v>424</v>
      </c>
      <c r="L2" s="106" t="s">
        <v>425</v>
      </c>
      <c r="N2" s="64" t="s">
        <v>426</v>
      </c>
      <c r="P2" s="64" t="s">
        <v>427</v>
      </c>
      <c r="R2" s="64" t="s">
        <v>428</v>
      </c>
      <c r="T2" s="64" t="s">
        <v>429</v>
      </c>
      <c r="V2" s="64" t="s">
        <v>430</v>
      </c>
    </row>
    <row r="3" ht="32.25" customHeight="1">
      <c r="A3" s="124" t="s">
        <v>431</v>
      </c>
      <c r="B3" s="108" t="s">
        <v>432</v>
      </c>
      <c r="C3" s="108" t="s">
        <v>433</v>
      </c>
      <c r="D3" s="108" t="s">
        <v>432</v>
      </c>
      <c r="E3" s="108" t="s">
        <v>433</v>
      </c>
      <c r="F3" s="108" t="s">
        <v>432</v>
      </c>
      <c r="G3" s="108" t="s">
        <v>433</v>
      </c>
      <c r="H3" s="108" t="s">
        <v>432</v>
      </c>
      <c r="I3" s="108" t="s">
        <v>433</v>
      </c>
      <c r="J3" s="108" t="s">
        <v>432</v>
      </c>
      <c r="K3" s="108" t="s">
        <v>433</v>
      </c>
      <c r="L3" s="108" t="s">
        <v>432</v>
      </c>
      <c r="M3" s="108" t="s">
        <v>433</v>
      </c>
      <c r="N3" s="108" t="s">
        <v>432</v>
      </c>
      <c r="O3" s="108" t="s">
        <v>433</v>
      </c>
      <c r="P3" s="108" t="s">
        <v>432</v>
      </c>
      <c r="Q3" s="108" t="s">
        <v>433</v>
      </c>
      <c r="R3" s="108" t="s">
        <v>432</v>
      </c>
      <c r="S3" s="108" t="s">
        <v>433</v>
      </c>
      <c r="T3" s="108" t="s">
        <v>432</v>
      </c>
      <c r="U3" s="108" t="s">
        <v>433</v>
      </c>
      <c r="V3" s="108" t="s">
        <v>432</v>
      </c>
      <c r="W3" s="108" t="s">
        <v>433</v>
      </c>
    </row>
    <row r="4" ht="15.75" customHeight="1">
      <c r="A4" s="2">
        <v>1000.0</v>
      </c>
      <c r="B4" s="75">
        <v>20000.0</v>
      </c>
      <c r="C4" s="75">
        <v>26100.0</v>
      </c>
      <c r="D4" s="125">
        <v>20600.0</v>
      </c>
      <c r="E4" s="125">
        <v>27200.0</v>
      </c>
      <c r="F4" s="125">
        <v>21500.0</v>
      </c>
      <c r="G4" s="125">
        <v>28500.0</v>
      </c>
      <c r="H4" s="75">
        <v>20000.0</v>
      </c>
      <c r="I4" s="75">
        <v>26100.0</v>
      </c>
      <c r="J4" s="75">
        <v>20000.0</v>
      </c>
      <c r="K4" s="75">
        <v>26100.0</v>
      </c>
      <c r="L4" s="75">
        <v>20600.0</v>
      </c>
      <c r="M4" s="125">
        <v>27200.0</v>
      </c>
      <c r="N4" s="75">
        <v>24000.0</v>
      </c>
      <c r="O4" s="75">
        <v>33300.0</v>
      </c>
      <c r="P4" s="126">
        <v>18500.0</v>
      </c>
      <c r="Q4" s="104">
        <v>23500.0</v>
      </c>
      <c r="R4" s="75">
        <v>20300.0</v>
      </c>
      <c r="S4" s="75">
        <v>26700.0</v>
      </c>
      <c r="T4" s="75">
        <v>22000.0</v>
      </c>
      <c r="U4" s="75">
        <v>29500.0</v>
      </c>
      <c r="V4" s="75">
        <v>24000.0</v>
      </c>
      <c r="W4" s="75">
        <v>33300.0</v>
      </c>
    </row>
    <row r="5" ht="15.75" customHeight="1">
      <c r="A5" s="2">
        <v>2000.0</v>
      </c>
      <c r="B5" s="125">
        <v>30000.0</v>
      </c>
      <c r="C5" s="125">
        <v>39200.0</v>
      </c>
      <c r="D5" s="125">
        <v>30900.0</v>
      </c>
      <c r="E5" s="125">
        <v>41500.0</v>
      </c>
      <c r="F5" s="75">
        <v>32500.0</v>
      </c>
      <c r="G5" s="75">
        <v>49600.0</v>
      </c>
      <c r="H5" s="75">
        <v>30000.0</v>
      </c>
      <c r="I5" s="75">
        <v>39200.0</v>
      </c>
      <c r="J5" s="75">
        <v>30000.0</v>
      </c>
      <c r="K5" s="75">
        <v>39200.0</v>
      </c>
      <c r="L5" s="75">
        <v>30900.0</v>
      </c>
      <c r="M5" s="125">
        <v>41500.0</v>
      </c>
      <c r="N5" s="75">
        <v>36000.0</v>
      </c>
      <c r="O5" s="75">
        <v>54600.0</v>
      </c>
      <c r="P5" s="126">
        <v>28000.0</v>
      </c>
      <c r="Q5" s="104">
        <v>35600.0</v>
      </c>
      <c r="R5" s="75">
        <v>30500.0</v>
      </c>
      <c r="S5" s="75">
        <v>39800.0</v>
      </c>
      <c r="T5" s="75">
        <v>33000.0</v>
      </c>
      <c r="U5" s="75">
        <v>46300.0</v>
      </c>
      <c r="V5" s="75">
        <v>36000.0</v>
      </c>
      <c r="W5" s="75">
        <v>54600.0</v>
      </c>
    </row>
    <row r="6" ht="15.75" customHeight="1">
      <c r="A6" s="2">
        <v>3000.0</v>
      </c>
      <c r="B6" s="125">
        <v>40000.0</v>
      </c>
      <c r="C6" s="125">
        <v>52200.0</v>
      </c>
      <c r="D6" s="125">
        <v>41500.0</v>
      </c>
      <c r="E6" s="125">
        <v>55600.0</v>
      </c>
      <c r="F6" s="75">
        <v>46500.0</v>
      </c>
      <c r="G6" s="75">
        <v>71100.0</v>
      </c>
      <c r="H6" s="75">
        <v>40000.0</v>
      </c>
      <c r="I6" s="75">
        <v>52200.0</v>
      </c>
      <c r="J6" s="75">
        <v>40000.0</v>
      </c>
      <c r="K6" s="75">
        <v>52200.0</v>
      </c>
      <c r="L6" s="75">
        <v>41500.0</v>
      </c>
      <c r="M6" s="125">
        <v>55600.0</v>
      </c>
      <c r="N6" s="75">
        <v>50000.0</v>
      </c>
      <c r="O6" s="75">
        <v>75700.0</v>
      </c>
      <c r="P6" s="126">
        <v>37000.0</v>
      </c>
      <c r="Q6" s="104">
        <v>47300.0</v>
      </c>
      <c r="R6" s="75">
        <v>40600.0</v>
      </c>
      <c r="S6" s="75">
        <v>52800.0</v>
      </c>
      <c r="T6" s="75">
        <v>44000.0</v>
      </c>
      <c r="U6" s="75">
        <v>62700.0</v>
      </c>
      <c r="V6" s="75">
        <v>50000.0</v>
      </c>
      <c r="W6" s="75">
        <v>75700.0</v>
      </c>
    </row>
    <row r="7" ht="15.75" customHeight="1">
      <c r="A7" s="2">
        <v>4000.0</v>
      </c>
      <c r="B7" s="125">
        <v>50000.0</v>
      </c>
      <c r="C7" s="125">
        <v>65300.0</v>
      </c>
      <c r="D7" s="125">
        <v>51500.0</v>
      </c>
      <c r="E7" s="125">
        <v>69900.0</v>
      </c>
      <c r="F7" s="75">
        <v>60000.0</v>
      </c>
      <c r="G7" s="75">
        <v>92400.0</v>
      </c>
      <c r="H7" s="75">
        <v>50000.0</v>
      </c>
      <c r="I7" s="75">
        <v>65300.0</v>
      </c>
      <c r="J7" s="75">
        <v>50000.0</v>
      </c>
      <c r="K7" s="75">
        <v>65300.0</v>
      </c>
      <c r="L7" s="75">
        <v>51500.0</v>
      </c>
      <c r="M7" s="125">
        <v>69900.0</v>
      </c>
      <c r="N7" s="75">
        <v>64000.0</v>
      </c>
      <c r="O7" s="75">
        <v>97200.0</v>
      </c>
      <c r="P7" s="126">
        <v>46500.0</v>
      </c>
      <c r="Q7" s="104">
        <v>59400.0</v>
      </c>
      <c r="R7" s="75">
        <v>51500.0</v>
      </c>
      <c r="S7" s="75">
        <v>62900.0</v>
      </c>
      <c r="T7" s="75">
        <v>55000.0</v>
      </c>
      <c r="U7" s="75">
        <v>79400.0</v>
      </c>
      <c r="V7" s="75">
        <v>64000.0</v>
      </c>
      <c r="W7" s="75">
        <v>97200.0</v>
      </c>
    </row>
    <row r="8" ht="15.75" customHeight="1">
      <c r="A8" s="2">
        <v>5000.0</v>
      </c>
      <c r="B8" s="125">
        <v>60000.0</v>
      </c>
      <c r="C8" s="125">
        <v>78300.0</v>
      </c>
      <c r="D8" s="125">
        <v>62000.0</v>
      </c>
      <c r="E8" s="125">
        <v>84100.0</v>
      </c>
      <c r="F8" s="75">
        <v>74000.0</v>
      </c>
      <c r="G8" s="75">
        <v>113900.0</v>
      </c>
      <c r="H8" s="75">
        <v>60000.0</v>
      </c>
      <c r="I8" s="75">
        <v>78300.0</v>
      </c>
      <c r="J8" s="75">
        <v>60000.0</v>
      </c>
      <c r="K8" s="75">
        <v>78300.0</v>
      </c>
      <c r="L8" s="75">
        <v>62000.0</v>
      </c>
      <c r="M8" s="125">
        <v>84100.0</v>
      </c>
      <c r="N8" s="75">
        <v>77000.0</v>
      </c>
      <c r="O8" s="75">
        <v>118500.0</v>
      </c>
      <c r="P8" s="126">
        <v>55500.0</v>
      </c>
      <c r="Q8" s="104">
        <v>71100.0</v>
      </c>
      <c r="R8" s="75">
        <v>61000.0</v>
      </c>
      <c r="S8" s="75">
        <v>78900.0</v>
      </c>
      <c r="T8" s="75">
        <v>66000.0</v>
      </c>
      <c r="U8" s="75">
        <v>96000.0</v>
      </c>
      <c r="V8" s="75">
        <v>77000.0</v>
      </c>
      <c r="W8" s="75">
        <v>118500.0</v>
      </c>
    </row>
    <row r="9" ht="15.75" customHeight="1">
      <c r="A9" s="109"/>
      <c r="B9" s="76"/>
      <c r="C9" s="76"/>
      <c r="D9" s="76"/>
      <c r="E9" s="76"/>
      <c r="F9" s="76"/>
      <c r="G9" s="76"/>
      <c r="H9" s="76"/>
      <c r="I9" s="76"/>
      <c r="J9" s="76"/>
      <c r="K9" s="76"/>
      <c r="N9" s="127"/>
    </row>
    <row r="10" ht="15.75" customHeight="1">
      <c r="A10" s="109"/>
      <c r="B10" s="109"/>
      <c r="C10" s="109"/>
      <c r="D10" s="109"/>
      <c r="E10" s="110"/>
      <c r="F10" s="110"/>
      <c r="G10" s="110"/>
      <c r="H10" s="110"/>
      <c r="N10" s="127"/>
    </row>
    <row r="11" ht="15.75" customHeight="1">
      <c r="A11" s="109"/>
      <c r="B11" s="109"/>
      <c r="C11" s="109"/>
      <c r="D11" s="109"/>
      <c r="E11" s="110"/>
      <c r="F11" s="110"/>
      <c r="G11" s="110"/>
      <c r="H11" s="110"/>
      <c r="N11" s="127"/>
    </row>
    <row r="12" ht="21.0" customHeight="1">
      <c r="A12" s="61" t="s">
        <v>434</v>
      </c>
    </row>
    <row r="13" ht="28.5" customHeight="1">
      <c r="A13" s="65" t="s">
        <v>393</v>
      </c>
      <c r="B13" s="106" t="s">
        <v>435</v>
      </c>
      <c r="D13" s="106" t="s">
        <v>436</v>
      </c>
      <c r="F13" s="106" t="s">
        <v>437</v>
      </c>
      <c r="H13" s="106" t="s">
        <v>438</v>
      </c>
      <c r="J13" s="106" t="s">
        <v>439</v>
      </c>
      <c r="L13" s="106" t="s">
        <v>440</v>
      </c>
      <c r="N13" s="64" t="s">
        <v>441</v>
      </c>
      <c r="P13" s="64" t="s">
        <v>442</v>
      </c>
      <c r="R13" s="64" t="s">
        <v>443</v>
      </c>
      <c r="T13" s="64" t="s">
        <v>444</v>
      </c>
      <c r="V13" s="64" t="s">
        <v>445</v>
      </c>
      <c r="X13" s="64" t="s">
        <v>446</v>
      </c>
    </row>
    <row r="14" ht="28.5" customHeight="1">
      <c r="A14" s="124" t="s">
        <v>431</v>
      </c>
      <c r="B14" s="108" t="s">
        <v>432</v>
      </c>
      <c r="C14" s="108" t="s">
        <v>433</v>
      </c>
      <c r="D14" s="108" t="s">
        <v>432</v>
      </c>
      <c r="E14" s="108" t="s">
        <v>433</v>
      </c>
      <c r="F14" s="108" t="s">
        <v>432</v>
      </c>
      <c r="G14" s="108" t="s">
        <v>433</v>
      </c>
      <c r="H14" s="108" t="s">
        <v>432</v>
      </c>
      <c r="I14" s="108" t="s">
        <v>433</v>
      </c>
      <c r="J14" s="108" t="s">
        <v>432</v>
      </c>
      <c r="K14" s="108" t="s">
        <v>433</v>
      </c>
      <c r="L14" s="108" t="s">
        <v>432</v>
      </c>
      <c r="M14" s="108" t="s">
        <v>433</v>
      </c>
      <c r="N14" s="108" t="s">
        <v>432</v>
      </c>
      <c r="O14" s="108" t="s">
        <v>433</v>
      </c>
      <c r="P14" s="108" t="s">
        <v>432</v>
      </c>
      <c r="Q14" s="108" t="s">
        <v>433</v>
      </c>
      <c r="R14" s="108" t="s">
        <v>432</v>
      </c>
      <c r="S14" s="108" t="s">
        <v>433</v>
      </c>
      <c r="T14" s="108" t="s">
        <v>432</v>
      </c>
      <c r="U14" s="108" t="s">
        <v>433</v>
      </c>
      <c r="V14" s="108" t="s">
        <v>432</v>
      </c>
      <c r="W14" s="108" t="s">
        <v>433</v>
      </c>
      <c r="X14" s="108" t="s">
        <v>432</v>
      </c>
      <c r="Y14" s="108" t="s">
        <v>433</v>
      </c>
    </row>
    <row r="15" ht="15.75" customHeight="1">
      <c r="A15" s="2">
        <v>1000.0</v>
      </c>
      <c r="B15" s="126">
        <v>20000.0</v>
      </c>
      <c r="C15" s="126">
        <v>26100.0</v>
      </c>
      <c r="D15" s="126">
        <v>20600.0</v>
      </c>
      <c r="E15" s="126">
        <v>27200.0</v>
      </c>
      <c r="F15" s="126">
        <v>21500.0</v>
      </c>
      <c r="G15" s="126">
        <v>28500.0</v>
      </c>
      <c r="H15" s="126">
        <v>20000.0</v>
      </c>
      <c r="I15" s="126">
        <v>26100.0</v>
      </c>
      <c r="J15" s="126">
        <v>20000.0</v>
      </c>
      <c r="K15" s="126">
        <v>26100.0</v>
      </c>
      <c r="L15" s="126">
        <v>20600.0</v>
      </c>
      <c r="M15" s="126">
        <v>27200.0</v>
      </c>
      <c r="N15" s="126">
        <v>24000.0</v>
      </c>
      <c r="O15" s="126">
        <v>33300.0</v>
      </c>
      <c r="P15" s="126">
        <v>18500.0</v>
      </c>
      <c r="Q15" s="126">
        <v>23500.0</v>
      </c>
      <c r="R15" s="126">
        <v>20300.0</v>
      </c>
      <c r="S15" s="126">
        <v>26700.0</v>
      </c>
      <c r="T15" s="126">
        <v>22000.0</v>
      </c>
      <c r="U15" s="126">
        <v>29500.0</v>
      </c>
      <c r="V15" s="126">
        <v>24000.0</v>
      </c>
      <c r="W15" s="126">
        <v>33300.0</v>
      </c>
      <c r="X15" s="126">
        <v>35000.0</v>
      </c>
      <c r="Y15" s="126">
        <v>52200.0</v>
      </c>
    </row>
    <row r="16" ht="15.75" customHeight="1">
      <c r="A16" s="2">
        <v>2000.0</v>
      </c>
      <c r="B16" s="126">
        <v>30000.0</v>
      </c>
      <c r="C16" s="126">
        <v>39200.0</v>
      </c>
      <c r="D16" s="126">
        <v>30900.0</v>
      </c>
      <c r="E16" s="126">
        <v>41500.0</v>
      </c>
      <c r="F16" s="126">
        <v>32500.0</v>
      </c>
      <c r="G16" s="126">
        <v>46300.0</v>
      </c>
      <c r="H16" s="126">
        <v>30000.0</v>
      </c>
      <c r="I16" s="126">
        <v>39200.0</v>
      </c>
      <c r="J16" s="126">
        <v>30000.0</v>
      </c>
      <c r="K16" s="126">
        <v>39200.0</v>
      </c>
      <c r="L16" s="126">
        <v>30900.0</v>
      </c>
      <c r="M16" s="126">
        <v>41500.0</v>
      </c>
      <c r="N16" s="126">
        <v>36000.0</v>
      </c>
      <c r="O16" s="126">
        <v>54600.0</v>
      </c>
      <c r="P16" s="126">
        <v>28000.0</v>
      </c>
      <c r="Q16" s="126">
        <v>35600.0</v>
      </c>
      <c r="R16" s="126">
        <v>30500.0</v>
      </c>
      <c r="S16" s="126">
        <v>39800.0</v>
      </c>
      <c r="T16" s="126">
        <v>33000.0</v>
      </c>
      <c r="U16" s="126">
        <v>46300.0</v>
      </c>
      <c r="V16" s="126">
        <v>36000.0</v>
      </c>
      <c r="W16" s="126">
        <v>54600.0</v>
      </c>
      <c r="X16" s="126">
        <v>70000.0</v>
      </c>
      <c r="Y16" s="126">
        <v>80700.0</v>
      </c>
    </row>
    <row r="17" ht="15.75" customHeight="1">
      <c r="A17" s="2">
        <v>3000.0</v>
      </c>
      <c r="B17" s="126">
        <v>40000.0</v>
      </c>
      <c r="C17" s="126">
        <v>52200.0</v>
      </c>
      <c r="D17" s="126">
        <v>41500.0</v>
      </c>
      <c r="E17" s="126">
        <v>55600.0</v>
      </c>
      <c r="F17" s="126">
        <v>43000.0</v>
      </c>
      <c r="G17" s="126">
        <v>62700.0</v>
      </c>
      <c r="H17" s="126">
        <v>40000.0</v>
      </c>
      <c r="I17" s="126">
        <v>52200.0</v>
      </c>
      <c r="J17" s="126">
        <v>40000.0</v>
      </c>
      <c r="K17" s="126">
        <v>52200.0</v>
      </c>
      <c r="L17" s="126">
        <v>41500.0</v>
      </c>
      <c r="M17" s="126">
        <v>55600.0</v>
      </c>
      <c r="N17" s="32">
        <v>49000.0</v>
      </c>
      <c r="O17" s="126">
        <v>75700.0</v>
      </c>
      <c r="P17" s="126">
        <v>37000.0</v>
      </c>
      <c r="Q17" s="126">
        <v>47300.0</v>
      </c>
      <c r="R17" s="126">
        <v>40600.0</v>
      </c>
      <c r="S17" s="126">
        <v>52800.0</v>
      </c>
      <c r="T17" s="126">
        <v>44000.0</v>
      </c>
      <c r="U17" s="126">
        <v>62700.0</v>
      </c>
      <c r="V17" s="126">
        <v>48000.0</v>
      </c>
      <c r="W17" s="126">
        <v>75700.0</v>
      </c>
      <c r="X17" s="126">
        <v>95000.0</v>
      </c>
      <c r="Y17" s="126">
        <v>120800.0</v>
      </c>
    </row>
    <row r="18" ht="15.75" customHeight="1">
      <c r="A18" s="2">
        <v>4000.0</v>
      </c>
      <c r="B18" s="126">
        <v>50000.0</v>
      </c>
      <c r="C18" s="126">
        <v>65300.0</v>
      </c>
      <c r="D18" s="126">
        <v>51500.0</v>
      </c>
      <c r="E18" s="126">
        <v>69900.0</v>
      </c>
      <c r="F18" s="126">
        <v>54000.0</v>
      </c>
      <c r="G18" s="126">
        <v>79400.0</v>
      </c>
      <c r="H18" s="126">
        <v>50000.0</v>
      </c>
      <c r="I18" s="126">
        <v>65300.0</v>
      </c>
      <c r="J18" s="126">
        <v>50000.0</v>
      </c>
      <c r="K18" s="126">
        <v>65300.0</v>
      </c>
      <c r="L18" s="126">
        <v>51500.0</v>
      </c>
      <c r="M18" s="126">
        <v>69900.0</v>
      </c>
      <c r="N18" s="126">
        <v>62000.0</v>
      </c>
      <c r="O18" s="126">
        <v>97200.0</v>
      </c>
      <c r="P18" s="126">
        <v>46500.0</v>
      </c>
      <c r="Q18" s="126">
        <v>59400.0</v>
      </c>
      <c r="R18" s="126">
        <v>51000.0</v>
      </c>
      <c r="S18" s="126">
        <v>65900.0</v>
      </c>
      <c r="T18" s="126">
        <v>55000.0</v>
      </c>
      <c r="U18" s="126">
        <v>79400.0</v>
      </c>
      <c r="V18" s="126">
        <v>60000.0</v>
      </c>
      <c r="W18" s="126">
        <v>97200.0</v>
      </c>
      <c r="X18" s="126">
        <v>120000.0</v>
      </c>
      <c r="Y18" s="126">
        <v>155300.0</v>
      </c>
    </row>
    <row r="19" ht="15.75" customHeight="1">
      <c r="A19" s="2">
        <v>5000.0</v>
      </c>
      <c r="B19" s="126">
        <v>60000.0</v>
      </c>
      <c r="C19" s="126">
        <v>78300.0</v>
      </c>
      <c r="D19" s="126">
        <v>62000.0</v>
      </c>
      <c r="E19" s="126">
        <v>84100.0</v>
      </c>
      <c r="F19" s="126">
        <v>64500.0</v>
      </c>
      <c r="G19" s="126">
        <v>96000.0</v>
      </c>
      <c r="H19" s="126">
        <v>60000.0</v>
      </c>
      <c r="I19" s="126">
        <v>78300.0</v>
      </c>
      <c r="J19" s="126">
        <v>60000.0</v>
      </c>
      <c r="K19" s="126">
        <v>78300.0</v>
      </c>
      <c r="L19" s="126">
        <v>62000.0</v>
      </c>
      <c r="M19" s="126">
        <v>84100.0</v>
      </c>
      <c r="N19" s="126">
        <v>76000.0</v>
      </c>
      <c r="O19" s="126">
        <v>118500.0</v>
      </c>
      <c r="P19" s="126">
        <v>55500.0</v>
      </c>
      <c r="Q19" s="126">
        <v>71100.0</v>
      </c>
      <c r="R19" s="126">
        <v>61000.0</v>
      </c>
      <c r="S19" s="126">
        <v>78900.0</v>
      </c>
      <c r="T19" s="126">
        <v>66000.0</v>
      </c>
      <c r="U19" s="126">
        <v>96000.0</v>
      </c>
      <c r="V19" s="126">
        <v>72000.0</v>
      </c>
      <c r="W19" s="126">
        <v>118500.0</v>
      </c>
      <c r="X19" s="126">
        <v>150000.0</v>
      </c>
      <c r="Y19" s="126">
        <v>189900.0</v>
      </c>
    </row>
    <row r="20" ht="15.75" customHeight="1">
      <c r="A20" s="109"/>
      <c r="B20" s="109"/>
      <c r="C20" s="109"/>
      <c r="D20" s="109"/>
      <c r="E20" s="110"/>
      <c r="F20" s="110"/>
      <c r="G20" s="110"/>
      <c r="H20" s="110"/>
    </row>
    <row r="21" ht="15.75" customHeight="1">
      <c r="A21" s="109"/>
      <c r="B21" s="109"/>
      <c r="C21" s="109"/>
      <c r="D21" s="109"/>
      <c r="E21" s="110"/>
      <c r="F21" s="110"/>
      <c r="G21" s="110"/>
      <c r="H21" s="110"/>
    </row>
    <row r="22" ht="15.75" customHeight="1">
      <c r="A22" s="109"/>
      <c r="B22" s="109"/>
      <c r="C22" s="109"/>
      <c r="D22" s="109"/>
      <c r="E22" s="110"/>
      <c r="F22" s="110"/>
      <c r="G22" s="110"/>
      <c r="H22" s="110"/>
    </row>
    <row r="23" ht="24.75" customHeight="1">
      <c r="A23" s="61" t="s">
        <v>447</v>
      </c>
    </row>
    <row r="24" ht="23.25" customHeight="1">
      <c r="A24" s="65" t="s">
        <v>393</v>
      </c>
      <c r="B24" s="106" t="s">
        <v>448</v>
      </c>
      <c r="D24" s="106" t="s">
        <v>449</v>
      </c>
      <c r="F24" s="106" t="s">
        <v>450</v>
      </c>
      <c r="H24" s="106" t="s">
        <v>451</v>
      </c>
      <c r="J24" s="106" t="s">
        <v>452</v>
      </c>
      <c r="L24" s="106" t="s">
        <v>453</v>
      </c>
      <c r="N24" s="64" t="s">
        <v>454</v>
      </c>
      <c r="P24" s="64" t="s">
        <v>455</v>
      </c>
      <c r="R24" s="64" t="s">
        <v>456</v>
      </c>
      <c r="T24" s="64" t="s">
        <v>457</v>
      </c>
      <c r="V24" s="64" t="s">
        <v>458</v>
      </c>
      <c r="X24" s="64" t="s">
        <v>459</v>
      </c>
      <c r="Z24" s="64" t="s">
        <v>460</v>
      </c>
      <c r="AB24" s="64" t="s">
        <v>461</v>
      </c>
    </row>
    <row r="25" ht="27.75" customHeight="1">
      <c r="A25" s="124" t="s">
        <v>431</v>
      </c>
      <c r="B25" s="108" t="s">
        <v>432</v>
      </c>
      <c r="C25" s="108" t="s">
        <v>433</v>
      </c>
      <c r="D25" s="108" t="s">
        <v>432</v>
      </c>
      <c r="E25" s="108" t="s">
        <v>433</v>
      </c>
      <c r="F25" s="108" t="s">
        <v>432</v>
      </c>
      <c r="G25" s="108" t="s">
        <v>433</v>
      </c>
      <c r="H25" s="108" t="s">
        <v>432</v>
      </c>
      <c r="I25" s="108" t="s">
        <v>433</v>
      </c>
      <c r="J25" s="108" t="s">
        <v>432</v>
      </c>
      <c r="K25" s="108" t="s">
        <v>433</v>
      </c>
      <c r="L25" s="108" t="s">
        <v>432</v>
      </c>
      <c r="M25" s="108" t="s">
        <v>433</v>
      </c>
      <c r="N25" s="108" t="s">
        <v>432</v>
      </c>
      <c r="O25" s="108" t="s">
        <v>433</v>
      </c>
      <c r="P25" s="108" t="s">
        <v>432</v>
      </c>
      <c r="Q25" s="108" t="s">
        <v>433</v>
      </c>
      <c r="R25" s="108" t="s">
        <v>432</v>
      </c>
      <c r="S25" s="108" t="s">
        <v>433</v>
      </c>
      <c r="T25" s="108" t="s">
        <v>432</v>
      </c>
      <c r="U25" s="108" t="s">
        <v>433</v>
      </c>
      <c r="V25" s="108" t="s">
        <v>432</v>
      </c>
      <c r="W25" s="108" t="s">
        <v>433</v>
      </c>
      <c r="X25" s="108" t="s">
        <v>432</v>
      </c>
      <c r="Y25" s="108" t="s">
        <v>433</v>
      </c>
      <c r="Z25" s="108" t="s">
        <v>432</v>
      </c>
      <c r="AA25" s="108" t="s">
        <v>433</v>
      </c>
      <c r="AB25" s="108" t="s">
        <v>432</v>
      </c>
      <c r="AC25" s="108" t="s">
        <v>433</v>
      </c>
    </row>
    <row r="26" ht="15.75" customHeight="1">
      <c r="A26" s="2">
        <v>1000.0</v>
      </c>
      <c r="B26" s="126">
        <v>18000.0</v>
      </c>
      <c r="C26" s="126">
        <v>22500.0</v>
      </c>
      <c r="D26" s="126">
        <v>22000.0</v>
      </c>
      <c r="E26" s="126">
        <v>29500.0</v>
      </c>
      <c r="F26" s="126">
        <v>18000.0</v>
      </c>
      <c r="G26" s="126">
        <v>22500.0</v>
      </c>
      <c r="H26" s="126">
        <v>20000.0</v>
      </c>
      <c r="I26" s="126">
        <v>26100.0</v>
      </c>
      <c r="J26" s="126">
        <v>22000.0</v>
      </c>
      <c r="K26" s="126">
        <v>29500.0</v>
      </c>
      <c r="L26" s="126">
        <v>18000.0</v>
      </c>
      <c r="M26" s="126">
        <v>22500.0</v>
      </c>
      <c r="N26" s="126">
        <v>20300.0</v>
      </c>
      <c r="O26" s="126">
        <v>26700.0</v>
      </c>
      <c r="P26" s="32">
        <v>22000.0</v>
      </c>
      <c r="Q26" s="32">
        <v>29500.0</v>
      </c>
      <c r="R26" s="126">
        <v>22000.0</v>
      </c>
      <c r="S26" s="126">
        <v>29500.0</v>
      </c>
      <c r="T26" s="126">
        <v>21500.0</v>
      </c>
      <c r="U26" s="126">
        <v>28500.0</v>
      </c>
      <c r="V26" s="126">
        <v>24000.0</v>
      </c>
      <c r="W26" s="126">
        <v>33300.0</v>
      </c>
      <c r="X26" s="126">
        <v>27000.0</v>
      </c>
      <c r="Y26" s="126">
        <v>37900.0</v>
      </c>
      <c r="Z26" s="126">
        <v>29500.0</v>
      </c>
      <c r="AA26" s="126">
        <v>42500.0</v>
      </c>
      <c r="AB26" s="126">
        <v>32000.0</v>
      </c>
      <c r="AC26" s="126">
        <v>47300.0</v>
      </c>
    </row>
    <row r="27" ht="15.75" customHeight="1">
      <c r="A27" s="2">
        <v>2000.0</v>
      </c>
      <c r="B27" s="128">
        <v>27000.0</v>
      </c>
      <c r="C27" s="128">
        <v>34300.0</v>
      </c>
      <c r="D27" s="128">
        <v>33000.0</v>
      </c>
      <c r="E27" s="128">
        <v>46300.0</v>
      </c>
      <c r="F27" s="128">
        <v>27000.0</v>
      </c>
      <c r="G27" s="128">
        <v>34300.0</v>
      </c>
      <c r="H27" s="128">
        <v>30000.0</v>
      </c>
      <c r="I27" s="128">
        <v>39200.0</v>
      </c>
      <c r="J27" s="128">
        <v>33000.0</v>
      </c>
      <c r="K27" s="128">
        <v>46300.0</v>
      </c>
      <c r="L27" s="128">
        <v>27000.0</v>
      </c>
      <c r="M27" s="128">
        <v>34300.0</v>
      </c>
      <c r="N27" s="128">
        <v>30500.0</v>
      </c>
      <c r="O27" s="128">
        <v>39800.0</v>
      </c>
      <c r="P27" s="44">
        <v>33000.0</v>
      </c>
      <c r="Q27" s="32">
        <v>46300.0</v>
      </c>
      <c r="R27" s="128">
        <v>33000.0</v>
      </c>
      <c r="S27" s="128">
        <v>46300.0</v>
      </c>
      <c r="T27" s="128">
        <v>43000.0</v>
      </c>
      <c r="U27" s="128">
        <v>56900.0</v>
      </c>
      <c r="V27" s="128">
        <v>48000.0</v>
      </c>
      <c r="W27" s="128">
        <v>62700.0</v>
      </c>
      <c r="X27" s="128">
        <v>54000.0</v>
      </c>
      <c r="Y27" s="128">
        <v>68600.0</v>
      </c>
      <c r="Z27" s="128">
        <v>59000.0</v>
      </c>
      <c r="AA27" s="128">
        <v>74700.0</v>
      </c>
      <c r="AB27" s="128">
        <v>64000.0</v>
      </c>
      <c r="AC27" s="128">
        <v>80700.0</v>
      </c>
    </row>
    <row r="28" ht="15.75" customHeight="1">
      <c r="A28" s="2">
        <v>3000.0</v>
      </c>
      <c r="B28" s="126">
        <v>36000.0</v>
      </c>
      <c r="C28" s="126">
        <v>46300.0</v>
      </c>
      <c r="D28" s="126">
        <v>44000.0</v>
      </c>
      <c r="E28" s="126">
        <v>62700.0</v>
      </c>
      <c r="F28" s="126">
        <v>36000.0</v>
      </c>
      <c r="G28" s="126">
        <v>46300.0</v>
      </c>
      <c r="H28" s="126">
        <v>40000.0</v>
      </c>
      <c r="I28" s="126">
        <v>52200.0</v>
      </c>
      <c r="J28" s="126">
        <v>44000.0</v>
      </c>
      <c r="K28" s="126">
        <v>62700.0</v>
      </c>
      <c r="L28" s="126">
        <v>36000.0</v>
      </c>
      <c r="M28" s="126">
        <v>46300.0</v>
      </c>
      <c r="N28" s="126">
        <v>40600.0</v>
      </c>
      <c r="O28" s="126">
        <v>52800.0</v>
      </c>
      <c r="P28" s="32">
        <v>44000.0</v>
      </c>
      <c r="Q28" s="32">
        <v>62700.0</v>
      </c>
      <c r="R28" s="126">
        <v>44000.0</v>
      </c>
      <c r="S28" s="126">
        <v>62700.0</v>
      </c>
      <c r="T28" s="126">
        <v>64500.0</v>
      </c>
      <c r="U28" s="126">
        <v>85500.0</v>
      </c>
      <c r="V28" s="126">
        <v>72000.0</v>
      </c>
      <c r="W28" s="126">
        <v>92400.0</v>
      </c>
      <c r="X28" s="126">
        <v>76000.0</v>
      </c>
      <c r="Y28" s="126">
        <v>99500.0</v>
      </c>
      <c r="Z28" s="126">
        <v>84000.0</v>
      </c>
      <c r="AA28" s="126">
        <v>106800.0</v>
      </c>
      <c r="AB28" s="126">
        <v>90000.0</v>
      </c>
      <c r="AC28" s="126">
        <v>113900.0</v>
      </c>
    </row>
    <row r="29" ht="15.75" customHeight="1">
      <c r="A29" s="2">
        <v>4000.0</v>
      </c>
      <c r="B29" s="128">
        <v>45000.0</v>
      </c>
      <c r="C29" s="128">
        <v>58000.0</v>
      </c>
      <c r="D29" s="128">
        <v>55000.0</v>
      </c>
      <c r="E29" s="128">
        <v>79400.0</v>
      </c>
      <c r="F29" s="128">
        <v>45000.0</v>
      </c>
      <c r="G29" s="128">
        <v>58000.0</v>
      </c>
      <c r="H29" s="128">
        <v>50000.0</v>
      </c>
      <c r="I29" s="128">
        <v>65300.0</v>
      </c>
      <c r="J29" s="128">
        <v>55000.0</v>
      </c>
      <c r="K29" s="128">
        <v>79400.0</v>
      </c>
      <c r="L29" s="128">
        <v>45000.0</v>
      </c>
      <c r="M29" s="128">
        <v>58000.0</v>
      </c>
      <c r="N29" s="128">
        <v>51000.0</v>
      </c>
      <c r="O29" s="128">
        <v>65900.0</v>
      </c>
      <c r="P29" s="44">
        <v>55000.0</v>
      </c>
      <c r="Q29" s="32">
        <v>79400.0</v>
      </c>
      <c r="R29" s="128">
        <v>55000.0</v>
      </c>
      <c r="S29" s="128">
        <v>79400.0</v>
      </c>
      <c r="T29" s="128">
        <v>86000.0</v>
      </c>
      <c r="U29" s="128">
        <v>113900.0</v>
      </c>
      <c r="V29" s="128">
        <v>95000.0</v>
      </c>
      <c r="W29" s="128">
        <v>122100.0</v>
      </c>
      <c r="X29" s="128">
        <v>100000.0</v>
      </c>
      <c r="Y29" s="128">
        <v>130500.0</v>
      </c>
      <c r="Z29" s="128">
        <v>110000.0</v>
      </c>
      <c r="AA29" s="128">
        <v>138700.0</v>
      </c>
      <c r="AB29" s="128">
        <v>115000.0</v>
      </c>
      <c r="AC29" s="128">
        <v>146900.0</v>
      </c>
    </row>
    <row r="30" ht="15.75" customHeight="1">
      <c r="A30" s="2">
        <v>5000.0</v>
      </c>
      <c r="B30" s="126">
        <v>54000.0</v>
      </c>
      <c r="C30" s="126">
        <v>69900.0</v>
      </c>
      <c r="D30" s="126">
        <v>66000.0</v>
      </c>
      <c r="E30" s="126">
        <v>96000.0</v>
      </c>
      <c r="F30" s="126">
        <v>54000.0</v>
      </c>
      <c r="G30" s="126">
        <v>69900.0</v>
      </c>
      <c r="H30" s="126">
        <v>60000.0</v>
      </c>
      <c r="I30" s="126">
        <v>78300.0</v>
      </c>
      <c r="J30" s="126">
        <v>66000.0</v>
      </c>
      <c r="K30" s="126">
        <v>96000.0</v>
      </c>
      <c r="L30" s="126">
        <v>54000.0</v>
      </c>
      <c r="M30" s="126">
        <v>69900.0</v>
      </c>
      <c r="N30" s="126">
        <v>61000.0</v>
      </c>
      <c r="O30" s="126">
        <v>78900.0</v>
      </c>
      <c r="P30" s="32">
        <v>66000.0</v>
      </c>
      <c r="Q30" s="32">
        <v>96000.0</v>
      </c>
      <c r="R30" s="126">
        <v>66000.0</v>
      </c>
      <c r="S30" s="126">
        <v>96000.0</v>
      </c>
      <c r="T30" s="126">
        <v>107500.0</v>
      </c>
      <c r="U30" s="126">
        <v>142300.0</v>
      </c>
      <c r="V30" s="126">
        <v>120000.0</v>
      </c>
      <c r="W30" s="126">
        <v>151700.0</v>
      </c>
      <c r="X30" s="126">
        <v>125000.0</v>
      </c>
      <c r="Y30" s="126">
        <v>161300.0</v>
      </c>
      <c r="Z30" s="126">
        <v>135000.0</v>
      </c>
      <c r="AA30" s="126">
        <v>170700.0</v>
      </c>
      <c r="AB30" s="126">
        <v>140000.0</v>
      </c>
      <c r="AC30" s="126">
        <v>180100.0</v>
      </c>
    </row>
    <row r="31" ht="15.75" customHeight="1">
      <c r="A31" s="109"/>
      <c r="B31" s="109"/>
      <c r="C31" s="109"/>
      <c r="D31" s="109"/>
      <c r="E31" s="110"/>
      <c r="F31" s="110"/>
      <c r="G31" s="110"/>
      <c r="H31" s="110"/>
    </row>
    <row r="32" ht="15.75" customHeight="1">
      <c r="A32" s="109"/>
      <c r="B32" s="109"/>
      <c r="C32" s="109"/>
      <c r="D32" s="109"/>
      <c r="E32" s="110"/>
      <c r="F32" s="110"/>
      <c r="G32" s="110"/>
      <c r="H32" s="110"/>
    </row>
    <row r="33" ht="15.75" customHeight="1">
      <c r="A33" s="109"/>
      <c r="B33" s="109"/>
      <c r="C33" s="109"/>
      <c r="D33" s="109"/>
      <c r="E33" s="110"/>
      <c r="F33" s="110"/>
      <c r="G33" s="110"/>
      <c r="H33" s="110"/>
    </row>
    <row r="34" ht="15.75" customHeight="1">
      <c r="A34" s="109"/>
      <c r="B34" s="109"/>
      <c r="C34" s="109"/>
      <c r="D34" s="109"/>
      <c r="E34" s="110"/>
      <c r="F34" s="110"/>
      <c r="G34" s="110"/>
      <c r="H34" s="110"/>
    </row>
    <row r="35" ht="15.75" customHeight="1">
      <c r="A35" s="109"/>
      <c r="B35" s="109"/>
      <c r="C35" s="109"/>
      <c r="D35" s="109"/>
      <c r="E35" s="110"/>
      <c r="F35" s="110"/>
      <c r="G35" s="110"/>
      <c r="H35" s="110"/>
    </row>
    <row r="36" ht="15.75" customHeight="1">
      <c r="A36" s="109"/>
      <c r="B36" s="109"/>
      <c r="C36" s="109"/>
      <c r="D36" s="109"/>
      <c r="E36" s="110"/>
      <c r="F36" s="110"/>
      <c r="G36" s="110"/>
      <c r="H36" s="110"/>
    </row>
    <row r="37" ht="15.75" customHeight="1">
      <c r="A37" s="109"/>
      <c r="B37" s="109"/>
      <c r="C37" s="109"/>
      <c r="D37" s="109"/>
      <c r="E37" s="110"/>
      <c r="F37" s="110"/>
      <c r="G37" s="110"/>
      <c r="H37" s="110"/>
    </row>
    <row r="38" ht="15.75" customHeight="1">
      <c r="A38" s="109"/>
      <c r="B38" s="109"/>
      <c r="C38" s="109"/>
      <c r="D38" s="109"/>
      <c r="E38" s="110"/>
      <c r="F38" s="110"/>
      <c r="G38" s="110"/>
      <c r="H38" s="11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</sheetData>
  <mergeCells count="40">
    <mergeCell ref="N24:O24"/>
    <mergeCell ref="P24:Q24"/>
    <mergeCell ref="R24:S24"/>
    <mergeCell ref="T24:U24"/>
    <mergeCell ref="V24:W24"/>
    <mergeCell ref="X24:Y24"/>
    <mergeCell ref="Z24:AA24"/>
    <mergeCell ref="AB24:AC24"/>
    <mergeCell ref="T13:U13"/>
    <mergeCell ref="V13:W13"/>
    <mergeCell ref="A23:AC23"/>
    <mergeCell ref="B24:C24"/>
    <mergeCell ref="D24:E24"/>
    <mergeCell ref="F24:G24"/>
    <mergeCell ref="H24:I24"/>
    <mergeCell ref="N2:O2"/>
    <mergeCell ref="P2:Q2"/>
    <mergeCell ref="R2:S2"/>
    <mergeCell ref="T2:U2"/>
    <mergeCell ref="A1:W1"/>
    <mergeCell ref="B2:C2"/>
    <mergeCell ref="D2:E2"/>
    <mergeCell ref="F2:G2"/>
    <mergeCell ref="H2:I2"/>
    <mergeCell ref="J2:K2"/>
    <mergeCell ref="L2:M2"/>
    <mergeCell ref="L13:M13"/>
    <mergeCell ref="N13:O13"/>
    <mergeCell ref="P13:Q13"/>
    <mergeCell ref="R13:S13"/>
    <mergeCell ref="V2:W2"/>
    <mergeCell ref="A12:Y12"/>
    <mergeCell ref="B13:C13"/>
    <mergeCell ref="D13:E13"/>
    <mergeCell ref="F13:G13"/>
    <mergeCell ref="H13:I13"/>
    <mergeCell ref="J13:K13"/>
    <mergeCell ref="X13:Y13"/>
    <mergeCell ref="J24:K24"/>
    <mergeCell ref="L24:M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61" t="s">
        <v>462</v>
      </c>
    </row>
    <row r="2">
      <c r="A2" s="65" t="s">
        <v>393</v>
      </c>
      <c r="B2" s="106" t="s">
        <v>463</v>
      </c>
      <c r="D2" s="106" t="s">
        <v>464</v>
      </c>
      <c r="F2" s="106" t="s">
        <v>465</v>
      </c>
      <c r="H2" s="106" t="s">
        <v>466</v>
      </c>
    </row>
    <row r="3">
      <c r="A3" s="107" t="s">
        <v>431</v>
      </c>
      <c r="B3" s="108" t="s">
        <v>467</v>
      </c>
      <c r="C3" s="108" t="s">
        <v>468</v>
      </c>
      <c r="D3" s="108" t="s">
        <v>467</v>
      </c>
      <c r="E3" s="108" t="s">
        <v>468</v>
      </c>
      <c r="F3" s="108" t="s">
        <v>467</v>
      </c>
      <c r="G3" s="108" t="s">
        <v>468</v>
      </c>
      <c r="H3" s="108" t="s">
        <v>467</v>
      </c>
      <c r="I3" s="108" t="s">
        <v>468</v>
      </c>
    </row>
    <row r="4">
      <c r="A4" s="2">
        <v>1000.0</v>
      </c>
      <c r="B4" s="88">
        <v>96000.0</v>
      </c>
      <c r="C4" s="88">
        <v>111000.0</v>
      </c>
      <c r="D4" s="88">
        <v>48000.0</v>
      </c>
      <c r="E4" s="88">
        <v>58000.0</v>
      </c>
      <c r="F4" s="88">
        <v>48000.0</v>
      </c>
      <c r="G4" s="88">
        <v>58000.0</v>
      </c>
      <c r="H4" s="88">
        <v>134000.0</v>
      </c>
      <c r="I4" s="88">
        <v>152000.0</v>
      </c>
    </row>
    <row r="5">
      <c r="A5" s="2">
        <v>2000.0</v>
      </c>
      <c r="B5" s="88">
        <v>192000.0</v>
      </c>
      <c r="C5" s="88">
        <v>222000.0</v>
      </c>
      <c r="D5" s="88">
        <v>96000.0</v>
      </c>
      <c r="E5" s="88">
        <v>116000.0</v>
      </c>
      <c r="F5" s="88">
        <v>96000.0</v>
      </c>
      <c r="G5" s="88">
        <v>116000.0</v>
      </c>
      <c r="H5" s="88">
        <v>272000.0</v>
      </c>
      <c r="I5" s="88">
        <v>304000.0</v>
      </c>
    </row>
    <row r="6">
      <c r="A6" s="2">
        <v>3000.0</v>
      </c>
      <c r="B6" s="88">
        <v>288000.0</v>
      </c>
      <c r="C6" s="88">
        <v>333000.0</v>
      </c>
      <c r="D6" s="88">
        <v>144000.0</v>
      </c>
      <c r="E6" s="88">
        <v>174000.0</v>
      </c>
      <c r="F6" s="88">
        <v>144000.0</v>
      </c>
      <c r="G6" s="88">
        <v>174000.0</v>
      </c>
      <c r="H6" s="88">
        <v>400000.0</v>
      </c>
      <c r="I6" s="88">
        <v>456000.0</v>
      </c>
    </row>
    <row r="7">
      <c r="A7" s="2">
        <v>4000.0</v>
      </c>
      <c r="B7" s="88">
        <v>384000.0</v>
      </c>
      <c r="C7" s="88">
        <v>444000.0</v>
      </c>
      <c r="D7" s="88">
        <v>192000.0</v>
      </c>
      <c r="E7" s="88">
        <v>232000.0</v>
      </c>
      <c r="F7" s="88">
        <v>192000.0</v>
      </c>
      <c r="G7" s="88">
        <v>232000.0</v>
      </c>
      <c r="H7" s="88">
        <v>536000.0</v>
      </c>
      <c r="I7" s="88">
        <v>608000.0</v>
      </c>
    </row>
    <row r="8">
      <c r="A8" s="2">
        <v>5000.0</v>
      </c>
      <c r="B8" s="88">
        <v>480000.0</v>
      </c>
      <c r="C8" s="88">
        <v>555000.0</v>
      </c>
      <c r="D8" s="88">
        <v>240000.0</v>
      </c>
      <c r="E8" s="88">
        <v>290000.0</v>
      </c>
      <c r="F8" s="88">
        <v>240000.0</v>
      </c>
      <c r="G8" s="88">
        <v>290000.0</v>
      </c>
      <c r="H8" s="88">
        <v>672000.0</v>
      </c>
      <c r="I8" s="88">
        <v>760000.0</v>
      </c>
    </row>
  </sheetData>
  <mergeCells count="5">
    <mergeCell ref="A1:I1"/>
    <mergeCell ref="B2:C2"/>
    <mergeCell ref="D2:E2"/>
    <mergeCell ref="F2:G2"/>
    <mergeCell ref="H2:I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72.88"/>
  </cols>
  <sheetData>
    <row r="1" ht="28.5" customHeight="1">
      <c r="A1" s="61" t="s">
        <v>469</v>
      </c>
      <c r="F1" s="129"/>
    </row>
    <row r="2" ht="15.75" customHeight="1">
      <c r="A2" s="130"/>
      <c r="B2" s="64" t="s">
        <v>343</v>
      </c>
      <c r="D2" s="64" t="s">
        <v>344</v>
      </c>
      <c r="F2" s="129"/>
    </row>
    <row r="3" ht="36.75" customHeight="1">
      <c r="A3" s="64" t="s">
        <v>431</v>
      </c>
      <c r="B3" s="131" t="s">
        <v>470</v>
      </c>
      <c r="C3" s="131" t="s">
        <v>471</v>
      </c>
      <c r="D3" s="131" t="s">
        <v>470</v>
      </c>
      <c r="E3" s="131" t="s">
        <v>471</v>
      </c>
      <c r="F3" s="129"/>
    </row>
    <row r="4" ht="15.75" customHeight="1">
      <c r="A4" s="130">
        <v>100.0</v>
      </c>
      <c r="B4" s="130">
        <v>3500.0</v>
      </c>
      <c r="C4" s="130">
        <v>3800.0</v>
      </c>
      <c r="D4" s="130">
        <v>4500.0</v>
      </c>
      <c r="E4" s="130">
        <v>4800.0</v>
      </c>
      <c r="F4" s="129"/>
    </row>
    <row r="5" ht="15.75" customHeight="1">
      <c r="F5" s="129"/>
    </row>
    <row r="6" ht="15.75" customHeight="1">
      <c r="F6" s="129"/>
    </row>
    <row r="7" ht="15.75" customHeight="1">
      <c r="F7" s="129"/>
    </row>
    <row r="8" ht="26.25" customHeight="1">
      <c r="A8" s="61" t="s">
        <v>472</v>
      </c>
      <c r="F8" s="129"/>
    </row>
    <row r="9" ht="15.75" customHeight="1">
      <c r="A9" s="130"/>
      <c r="B9" s="64" t="s">
        <v>343</v>
      </c>
      <c r="D9" s="64" t="s">
        <v>344</v>
      </c>
      <c r="F9" s="129"/>
    </row>
    <row r="10" ht="27.0" customHeight="1">
      <c r="A10" s="64" t="s">
        <v>431</v>
      </c>
      <c r="B10" s="131" t="s">
        <v>473</v>
      </c>
      <c r="C10" s="131" t="s">
        <v>474</v>
      </c>
      <c r="D10" s="131" t="s">
        <v>473</v>
      </c>
      <c r="E10" s="131" t="s">
        <v>474</v>
      </c>
      <c r="F10" s="132" t="s">
        <v>475</v>
      </c>
    </row>
    <row r="11" ht="15.75" customHeight="1">
      <c r="A11" s="130">
        <v>100.0</v>
      </c>
      <c r="B11" s="130">
        <v>4500.0</v>
      </c>
      <c r="C11" s="130">
        <v>5000.0</v>
      </c>
      <c r="D11" s="130">
        <v>5500.0</v>
      </c>
      <c r="E11" s="130">
        <v>6500.0</v>
      </c>
      <c r="F11" s="129"/>
    </row>
    <row r="12" ht="15.75" customHeight="1">
      <c r="F12" s="129"/>
    </row>
    <row r="13" ht="15.75" customHeight="1">
      <c r="F13" s="129"/>
    </row>
    <row r="14" ht="15.75" customHeight="1">
      <c r="F14" s="129"/>
    </row>
    <row r="15" ht="24.75" customHeight="1">
      <c r="A15" s="61" t="s">
        <v>476</v>
      </c>
      <c r="F15" s="129"/>
    </row>
    <row r="16" ht="15.75" customHeight="1">
      <c r="A16" s="130"/>
      <c r="B16" s="64" t="s">
        <v>343</v>
      </c>
      <c r="D16" s="64" t="s">
        <v>344</v>
      </c>
      <c r="F16" s="129"/>
    </row>
    <row r="17" ht="15.75" customHeight="1">
      <c r="A17" s="64" t="s">
        <v>431</v>
      </c>
      <c r="B17" s="131" t="s">
        <v>477</v>
      </c>
      <c r="C17" s="131" t="s">
        <v>478</v>
      </c>
      <c r="D17" s="131" t="s">
        <v>477</v>
      </c>
      <c r="E17" s="131" t="s">
        <v>478</v>
      </c>
      <c r="F17" s="129"/>
    </row>
    <row r="18" ht="15.75" customHeight="1">
      <c r="A18" s="130">
        <v>100.0</v>
      </c>
      <c r="B18" s="130">
        <v>5500.0</v>
      </c>
      <c r="C18" s="130">
        <v>5800.0</v>
      </c>
      <c r="D18" s="130">
        <v>6500.0</v>
      </c>
      <c r="E18" s="130">
        <v>6800.0</v>
      </c>
      <c r="F18" s="129"/>
    </row>
    <row r="19" ht="15.75" customHeight="1">
      <c r="F19" s="129"/>
    </row>
    <row r="20" ht="15.75" customHeight="1">
      <c r="F20" s="129"/>
    </row>
    <row r="21" ht="15.75" customHeight="1">
      <c r="F21" s="129"/>
    </row>
    <row r="22" ht="22.5" customHeight="1">
      <c r="A22" s="61" t="s">
        <v>479</v>
      </c>
      <c r="F22" s="129"/>
    </row>
    <row r="23" ht="15.75" customHeight="1">
      <c r="A23" s="130"/>
      <c r="B23" s="64" t="s">
        <v>343</v>
      </c>
      <c r="D23" s="64" t="s">
        <v>344</v>
      </c>
      <c r="F23" s="129"/>
    </row>
    <row r="24" ht="15.75" customHeight="1">
      <c r="A24" s="64" t="s">
        <v>431</v>
      </c>
      <c r="B24" s="131" t="s">
        <v>480</v>
      </c>
      <c r="C24" s="131" t="s">
        <v>481</v>
      </c>
      <c r="D24" s="131" t="s">
        <v>480</v>
      </c>
      <c r="E24" s="131" t="s">
        <v>481</v>
      </c>
      <c r="F24" s="129"/>
    </row>
    <row r="25" ht="15.75" customHeight="1">
      <c r="A25" s="130">
        <v>100.0</v>
      </c>
      <c r="B25" s="130">
        <v>9000.0</v>
      </c>
      <c r="C25" s="130">
        <v>10000.0</v>
      </c>
      <c r="D25" s="130">
        <v>10000.0</v>
      </c>
      <c r="E25" s="130">
        <v>11000.0</v>
      </c>
      <c r="F25" s="129"/>
    </row>
    <row r="26" ht="15.75" customHeight="1">
      <c r="F26" s="129"/>
    </row>
    <row r="27" ht="15.75" customHeight="1">
      <c r="F27" s="129"/>
    </row>
    <row r="28" ht="15.75" customHeight="1">
      <c r="F28" s="129"/>
    </row>
    <row r="29" ht="23.25" customHeight="1">
      <c r="A29" s="61" t="s">
        <v>482</v>
      </c>
      <c r="C29" s="65"/>
      <c r="D29" s="65"/>
      <c r="E29" s="65"/>
      <c r="F29" s="129"/>
    </row>
    <row r="30" ht="15.75" customHeight="1">
      <c r="A30" s="130"/>
      <c r="B30" s="64" t="s">
        <v>343</v>
      </c>
      <c r="C30" s="63"/>
      <c r="D30" s="63"/>
      <c r="E30" s="63"/>
      <c r="F30" s="129"/>
    </row>
    <row r="31" ht="15.75" customHeight="1">
      <c r="A31" s="64" t="s">
        <v>431</v>
      </c>
      <c r="B31" s="131" t="s">
        <v>483</v>
      </c>
      <c r="C31" s="81"/>
      <c r="D31" s="81"/>
      <c r="E31" s="81"/>
      <c r="F31" s="129"/>
    </row>
    <row r="32" ht="15.75" customHeight="1">
      <c r="A32" s="130">
        <v>100.0</v>
      </c>
      <c r="B32" s="130">
        <v>13500.0</v>
      </c>
      <c r="C32" s="133"/>
      <c r="D32" s="133"/>
      <c r="E32" s="133"/>
      <c r="F32" s="129"/>
    </row>
    <row r="33" ht="15.75" customHeight="1">
      <c r="F33" s="129"/>
    </row>
    <row r="34" ht="15.75" customHeight="1">
      <c r="F34" s="129"/>
    </row>
    <row r="35" ht="15.75" customHeight="1">
      <c r="F35" s="129"/>
    </row>
    <row r="36" ht="21.75" customHeight="1">
      <c r="A36" s="61" t="s">
        <v>484</v>
      </c>
      <c r="F36" s="129"/>
    </row>
    <row r="37" ht="29.25" customHeight="1">
      <c r="A37" s="134"/>
      <c r="B37" s="131" t="s">
        <v>485</v>
      </c>
      <c r="C37" s="131" t="s">
        <v>486</v>
      </c>
      <c r="D37" s="131" t="s">
        <v>487</v>
      </c>
      <c r="E37" s="131" t="s">
        <v>488</v>
      </c>
      <c r="F37" s="135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4" t="s">
        <v>431</v>
      </c>
      <c r="B38" s="131"/>
      <c r="C38" s="131"/>
      <c r="D38" s="131"/>
      <c r="E38" s="131"/>
      <c r="F38" s="132" t="s">
        <v>489</v>
      </c>
    </row>
    <row r="39" ht="15.75" customHeight="1">
      <c r="A39" s="130">
        <v>100.0</v>
      </c>
      <c r="B39" s="130">
        <v>14500.0</v>
      </c>
      <c r="C39" s="130">
        <v>16000.0</v>
      </c>
      <c r="D39" s="130">
        <v>16000.0</v>
      </c>
      <c r="E39" s="130">
        <v>19000.0</v>
      </c>
      <c r="F39" s="129"/>
    </row>
    <row r="40" ht="15.75" customHeight="1">
      <c r="F40" s="129"/>
    </row>
    <row r="41" ht="15.75" customHeight="1">
      <c r="F41" s="129"/>
    </row>
    <row r="42" ht="15.75" customHeight="1">
      <c r="F42" s="129"/>
    </row>
    <row r="43" ht="22.5" customHeight="1">
      <c r="A43" s="61" t="s">
        <v>490</v>
      </c>
      <c r="F43" s="129"/>
    </row>
    <row r="44" ht="15.75" customHeight="1">
      <c r="A44" s="130"/>
      <c r="B44" s="64" t="s">
        <v>343</v>
      </c>
      <c r="C44" s="64" t="s">
        <v>344</v>
      </c>
      <c r="F44" s="129"/>
    </row>
    <row r="45" ht="15.75" customHeight="1">
      <c r="A45" s="64" t="s">
        <v>431</v>
      </c>
      <c r="B45" s="131" t="s">
        <v>491</v>
      </c>
      <c r="C45" s="131" t="s">
        <v>491</v>
      </c>
      <c r="F45" s="129"/>
    </row>
    <row r="46" ht="15.75" customHeight="1">
      <c r="A46" s="130">
        <v>100.0</v>
      </c>
      <c r="B46" s="130">
        <v>18000.0</v>
      </c>
      <c r="C46" s="130">
        <v>19000.0</v>
      </c>
      <c r="F46" s="129"/>
    </row>
    <row r="47" ht="15.75" customHeight="1">
      <c r="F47" s="129"/>
    </row>
    <row r="48" ht="15.75" customHeight="1">
      <c r="F48" s="129"/>
    </row>
    <row r="49" ht="15.75" customHeight="1">
      <c r="F49" s="129"/>
    </row>
    <row r="50" ht="23.25" customHeight="1">
      <c r="A50" s="61" t="s">
        <v>492</v>
      </c>
      <c r="F50" s="129"/>
    </row>
    <row r="51" ht="15.75" customHeight="1">
      <c r="A51" s="130"/>
      <c r="B51" s="64" t="s">
        <v>343</v>
      </c>
      <c r="C51" s="64" t="s">
        <v>344</v>
      </c>
      <c r="F51" s="129"/>
    </row>
    <row r="52" ht="15.75" customHeight="1">
      <c r="A52" s="64" t="s">
        <v>431</v>
      </c>
      <c r="B52" s="131" t="s">
        <v>491</v>
      </c>
      <c r="C52" s="131" t="s">
        <v>491</v>
      </c>
      <c r="F52" s="129"/>
    </row>
    <row r="53" ht="15.75" customHeight="1">
      <c r="A53" s="130">
        <v>100.0</v>
      </c>
      <c r="B53" s="130">
        <v>16000.0</v>
      </c>
      <c r="C53" s="130">
        <v>17000.0</v>
      </c>
      <c r="F53" s="129"/>
    </row>
    <row r="54" ht="15.75" customHeight="1">
      <c r="F54" s="129"/>
    </row>
    <row r="55" ht="15.75" customHeight="1">
      <c r="F55" s="129"/>
    </row>
    <row r="56" ht="15.75" customHeight="1">
      <c r="F56" s="129"/>
    </row>
    <row r="57" ht="23.25" customHeight="1">
      <c r="A57" s="61" t="s">
        <v>493</v>
      </c>
      <c r="F57" s="132" t="s">
        <v>494</v>
      </c>
    </row>
    <row r="58" ht="20.25" customHeight="1">
      <c r="A58" s="134"/>
      <c r="B58" s="64" t="s">
        <v>343</v>
      </c>
      <c r="D58" s="64" t="s">
        <v>344</v>
      </c>
      <c r="F58" s="129"/>
    </row>
    <row r="59" ht="15.75" customHeight="1">
      <c r="A59" s="64" t="s">
        <v>431</v>
      </c>
      <c r="B59" s="131" t="s">
        <v>495</v>
      </c>
      <c r="C59" s="131" t="s">
        <v>496</v>
      </c>
      <c r="D59" s="131" t="s">
        <v>495</v>
      </c>
      <c r="E59" s="131" t="s">
        <v>496</v>
      </c>
      <c r="F59" s="129"/>
    </row>
    <row r="60" ht="15.75" customHeight="1">
      <c r="A60" s="136" t="s">
        <v>497</v>
      </c>
      <c r="B60" s="137">
        <v>5000.0</v>
      </c>
      <c r="C60" s="138"/>
      <c r="D60" s="130">
        <v>5000.0</v>
      </c>
      <c r="E60" s="130"/>
      <c r="F60" s="129"/>
    </row>
    <row r="61" ht="15.75" customHeight="1">
      <c r="A61" s="126">
        <v>200.0</v>
      </c>
      <c r="B61" s="138">
        <v>19200.0</v>
      </c>
      <c r="C61" s="138">
        <v>24800.0</v>
      </c>
      <c r="D61" s="138">
        <v>19200.0</v>
      </c>
      <c r="E61" s="138">
        <v>24800.0</v>
      </c>
      <c r="F61" s="129"/>
    </row>
    <row r="62" ht="15.75" customHeight="1">
      <c r="A62" s="126">
        <v>300.0</v>
      </c>
      <c r="B62" s="138">
        <v>24800.0</v>
      </c>
      <c r="C62" s="138">
        <v>33200.0</v>
      </c>
      <c r="D62" s="138">
        <v>24800.0</v>
      </c>
      <c r="E62" s="138">
        <v>33200.0</v>
      </c>
      <c r="F62" s="129"/>
    </row>
    <row r="63" ht="15.75" customHeight="1">
      <c r="A63" s="126">
        <v>400.0</v>
      </c>
      <c r="B63" s="138">
        <v>30400.0</v>
      </c>
      <c r="C63" s="138">
        <v>41600.0</v>
      </c>
      <c r="D63" s="138">
        <v>30400.0</v>
      </c>
      <c r="E63" s="138">
        <v>41600.0</v>
      </c>
      <c r="F63" s="129"/>
    </row>
    <row r="64" ht="15.75" customHeight="1">
      <c r="A64" s="126">
        <v>500.0</v>
      </c>
      <c r="B64" s="138">
        <v>36000.0</v>
      </c>
      <c r="C64" s="138">
        <v>50000.0</v>
      </c>
      <c r="D64" s="138">
        <v>36000.0</v>
      </c>
      <c r="E64" s="138">
        <v>50000.0</v>
      </c>
      <c r="F64" s="129"/>
    </row>
    <row r="65" ht="15.75" customHeight="1">
      <c r="A65" s="126">
        <v>600.0</v>
      </c>
      <c r="B65" s="138">
        <v>41600.0</v>
      </c>
      <c r="C65" s="138">
        <v>54400.0</v>
      </c>
      <c r="D65" s="138">
        <v>41600.0</v>
      </c>
      <c r="E65" s="138">
        <v>54400.0</v>
      </c>
      <c r="F65" s="129"/>
    </row>
    <row r="66" ht="15.75" customHeight="1">
      <c r="A66" s="126">
        <v>700.0</v>
      </c>
      <c r="B66" s="138">
        <v>47200.0</v>
      </c>
      <c r="C66" s="138">
        <v>66800.0</v>
      </c>
      <c r="D66" s="138">
        <v>47200.0</v>
      </c>
      <c r="E66" s="138">
        <v>66800.0</v>
      </c>
      <c r="F66" s="129"/>
    </row>
    <row r="67" ht="15.75" customHeight="1">
      <c r="A67" s="126">
        <v>800.0</v>
      </c>
      <c r="B67" s="138">
        <v>52800.0</v>
      </c>
      <c r="C67" s="138">
        <v>75200.0</v>
      </c>
      <c r="D67" s="138">
        <v>52800.0</v>
      </c>
      <c r="E67" s="138">
        <v>75200.0</v>
      </c>
      <c r="F67" s="129"/>
    </row>
    <row r="68" ht="15.75" customHeight="1">
      <c r="A68" s="126">
        <v>900.0</v>
      </c>
      <c r="B68" s="138">
        <v>58400.0</v>
      </c>
      <c r="C68" s="138">
        <v>83600.0</v>
      </c>
      <c r="D68" s="138">
        <v>58400.0</v>
      </c>
      <c r="E68" s="138">
        <v>83600.0</v>
      </c>
      <c r="F68" s="129"/>
    </row>
    <row r="69" ht="15.75" customHeight="1">
      <c r="A69" s="126">
        <v>1000.0</v>
      </c>
      <c r="B69" s="138">
        <v>63000.0</v>
      </c>
      <c r="C69" s="138">
        <v>92000.0</v>
      </c>
      <c r="D69" s="138">
        <v>63000.0</v>
      </c>
      <c r="E69" s="138">
        <v>92000.0</v>
      </c>
      <c r="F69" s="129"/>
    </row>
    <row r="70" ht="15.75" customHeight="1">
      <c r="F70" s="129"/>
    </row>
    <row r="71" ht="15.75" customHeight="1">
      <c r="F71" s="129"/>
    </row>
    <row r="72" ht="15.75" customHeight="1">
      <c r="F72" s="129"/>
    </row>
    <row r="73" ht="15.75" customHeight="1">
      <c r="F73" s="129"/>
    </row>
    <row r="74" ht="21.75" customHeight="1">
      <c r="A74" s="61" t="s">
        <v>498</v>
      </c>
      <c r="D74" s="61" t="s">
        <v>499</v>
      </c>
      <c r="F74" s="129"/>
    </row>
    <row r="75" ht="15.75" customHeight="1">
      <c r="A75" s="1" t="s">
        <v>500</v>
      </c>
      <c r="B75" s="44"/>
      <c r="D75" s="1" t="s">
        <v>500</v>
      </c>
      <c r="E75" s="44"/>
      <c r="F75" s="129"/>
    </row>
    <row r="76" ht="15.75" customHeight="1">
      <c r="A76" s="44">
        <v>1.0</v>
      </c>
      <c r="B76" s="44">
        <v>6000.0</v>
      </c>
      <c r="D76" s="44">
        <v>1.0</v>
      </c>
      <c r="E76" s="44">
        <v>8500.0</v>
      </c>
      <c r="F76" s="129"/>
    </row>
    <row r="77" ht="15.75" customHeight="1">
      <c r="A77" s="118" t="s">
        <v>501</v>
      </c>
      <c r="D77" s="44"/>
      <c r="E77" s="44"/>
      <c r="F77" s="129"/>
    </row>
    <row r="78" ht="15.75" customHeight="1">
      <c r="A78" s="139">
        <v>20.0</v>
      </c>
      <c r="B78" s="139">
        <v>6000.0</v>
      </c>
      <c r="C78" s="139"/>
      <c r="D78" s="140"/>
      <c r="E78" s="140"/>
      <c r="F78" s="141"/>
      <c r="G78" s="140"/>
      <c r="H78" s="140"/>
      <c r="I78" s="140"/>
    </row>
    <row r="79" ht="15.75" customHeight="1">
      <c r="A79" s="140"/>
      <c r="B79" s="140"/>
      <c r="C79" s="140"/>
      <c r="D79" s="140"/>
      <c r="E79" s="140"/>
      <c r="F79" s="141"/>
      <c r="G79" s="140"/>
      <c r="H79" s="140"/>
      <c r="I79" s="140"/>
    </row>
    <row r="80" ht="15.75" customHeight="1">
      <c r="A80" s="142"/>
      <c r="B80" s="143"/>
      <c r="C80" s="143"/>
      <c r="D80" s="143"/>
      <c r="E80" s="142"/>
      <c r="F80" s="128"/>
      <c r="G80" s="142"/>
      <c r="H80" s="140"/>
      <c r="I80" s="140"/>
    </row>
    <row r="81" ht="15.75" customHeight="1">
      <c r="A81" s="140"/>
      <c r="B81" s="140"/>
      <c r="C81" s="140"/>
      <c r="D81" s="140"/>
      <c r="E81" s="140"/>
      <c r="F81" s="141"/>
      <c r="G81" s="140"/>
      <c r="H81" s="140"/>
      <c r="I81" s="140"/>
    </row>
    <row r="82" ht="25.5" customHeight="1">
      <c r="A82" s="90" t="s">
        <v>502</v>
      </c>
      <c r="C82" s="140"/>
      <c r="D82" s="140"/>
      <c r="E82" s="140"/>
      <c r="F82" s="141"/>
      <c r="G82" s="140"/>
      <c r="H82" s="140"/>
      <c r="I82" s="140"/>
    </row>
    <row r="83" ht="15.75" customHeight="1">
      <c r="A83" s="144" t="s">
        <v>503</v>
      </c>
      <c r="B83" s="145" t="s">
        <v>504</v>
      </c>
      <c r="F83" s="129"/>
    </row>
    <row r="84" ht="15.75" customHeight="1">
      <c r="A84" s="7">
        <v>20.0</v>
      </c>
      <c r="B84" s="146">
        <v>5000.0</v>
      </c>
      <c r="F84" s="129"/>
    </row>
    <row r="85" ht="15.75" customHeight="1">
      <c r="A85" s="147">
        <v>40.0</v>
      </c>
      <c r="B85" s="146">
        <v>6000.0</v>
      </c>
      <c r="F85" s="129"/>
    </row>
    <row r="86" ht="15.75" customHeight="1">
      <c r="A86" s="147">
        <v>60.0</v>
      </c>
      <c r="B86" s="146">
        <v>7000.0</v>
      </c>
      <c r="F86" s="129"/>
    </row>
    <row r="87" ht="15.75" customHeight="1">
      <c r="A87" s="147">
        <v>80.0</v>
      </c>
      <c r="B87" s="146">
        <v>8000.0</v>
      </c>
      <c r="F87" s="129"/>
    </row>
    <row r="88" ht="15.75" customHeight="1">
      <c r="A88" s="147">
        <v>100.0</v>
      </c>
      <c r="B88" s="146">
        <v>9500.0</v>
      </c>
      <c r="F88" s="129"/>
    </row>
    <row r="89" ht="15.75" customHeight="1">
      <c r="A89" s="147">
        <v>120.0</v>
      </c>
      <c r="B89" s="146">
        <v>10200.0</v>
      </c>
      <c r="F89" s="129"/>
    </row>
    <row r="90" ht="15.75" customHeight="1">
      <c r="A90" s="147">
        <v>140.0</v>
      </c>
      <c r="B90" s="146">
        <v>10800.0</v>
      </c>
      <c r="F90" s="129"/>
    </row>
    <row r="91" ht="15.75" customHeight="1">
      <c r="A91" s="147">
        <v>160.0</v>
      </c>
      <c r="B91" s="146">
        <v>11400.0</v>
      </c>
      <c r="F91" s="129"/>
    </row>
    <row r="92" ht="15.75" customHeight="1">
      <c r="A92" s="147">
        <v>180.0</v>
      </c>
      <c r="B92" s="146">
        <v>11900.0</v>
      </c>
      <c r="F92" s="129"/>
    </row>
    <row r="93" ht="15.75" customHeight="1">
      <c r="A93" s="147">
        <v>200.0</v>
      </c>
      <c r="B93" s="146">
        <v>12300.0</v>
      </c>
      <c r="F93" s="129"/>
    </row>
    <row r="94" ht="15.75" customHeight="1">
      <c r="A94" s="147">
        <v>220.0</v>
      </c>
      <c r="B94" s="146">
        <v>13900.0</v>
      </c>
      <c r="F94" s="129"/>
    </row>
    <row r="95" ht="15.75" customHeight="1">
      <c r="A95" s="147">
        <v>240.0</v>
      </c>
      <c r="B95" s="146">
        <v>14400.0</v>
      </c>
      <c r="F95" s="129"/>
    </row>
    <row r="96" ht="15.75" customHeight="1">
      <c r="A96" s="147">
        <v>260.0</v>
      </c>
      <c r="B96" s="146">
        <v>15000.0</v>
      </c>
      <c r="F96" s="129"/>
    </row>
    <row r="97" ht="15.75" customHeight="1">
      <c r="A97" s="147">
        <v>280.0</v>
      </c>
      <c r="B97" s="146">
        <v>15500.0</v>
      </c>
      <c r="F97" s="129"/>
    </row>
    <row r="98" ht="15.75" customHeight="1">
      <c r="A98" s="147">
        <v>300.0</v>
      </c>
      <c r="B98" s="146">
        <v>13500.0</v>
      </c>
      <c r="F98" s="129"/>
    </row>
    <row r="99" ht="15.75" customHeight="1">
      <c r="A99" s="147">
        <v>320.0</v>
      </c>
      <c r="B99" s="146">
        <v>17600.0</v>
      </c>
      <c r="F99" s="129"/>
    </row>
    <row r="100" ht="15.75" customHeight="1">
      <c r="A100" s="147">
        <v>340.0</v>
      </c>
      <c r="B100" s="146">
        <v>18200.0</v>
      </c>
      <c r="F100" s="129"/>
    </row>
    <row r="101" ht="15.75" customHeight="1">
      <c r="A101" s="147">
        <v>360.0</v>
      </c>
      <c r="B101" s="146">
        <v>19300.0</v>
      </c>
      <c r="F101" s="129"/>
    </row>
    <row r="102" ht="15.75" customHeight="1">
      <c r="A102" s="147">
        <v>380.0</v>
      </c>
      <c r="B102" s="146">
        <v>20400.0</v>
      </c>
      <c r="F102" s="129"/>
    </row>
    <row r="103" ht="15.75" customHeight="1">
      <c r="A103" s="147">
        <v>400.0</v>
      </c>
      <c r="B103" s="146">
        <v>21200.0</v>
      </c>
      <c r="F103" s="129"/>
    </row>
    <row r="104" ht="15.75" customHeight="1">
      <c r="A104" s="147">
        <v>420.0</v>
      </c>
      <c r="B104" s="146">
        <v>22100.0</v>
      </c>
      <c r="F104" s="129"/>
    </row>
    <row r="105" ht="15.75" customHeight="1">
      <c r="A105" s="147">
        <v>440.0</v>
      </c>
      <c r="B105" s="146">
        <v>22700.0</v>
      </c>
      <c r="F105" s="129"/>
    </row>
    <row r="106" ht="15.75" customHeight="1">
      <c r="A106" s="147">
        <v>460.0</v>
      </c>
      <c r="B106" s="146">
        <v>23300.0</v>
      </c>
      <c r="F106" s="129"/>
    </row>
    <row r="107" ht="15.75" customHeight="1">
      <c r="A107" s="147">
        <v>480.0</v>
      </c>
      <c r="B107" s="146">
        <v>23800.0</v>
      </c>
      <c r="F107" s="129"/>
    </row>
    <row r="108" ht="15.75" customHeight="1">
      <c r="A108" s="147">
        <v>500.0</v>
      </c>
      <c r="B108" s="146">
        <v>24600.0</v>
      </c>
      <c r="F108" s="129"/>
    </row>
    <row r="109" ht="15.75" customHeight="1">
      <c r="A109" s="147">
        <v>600.0</v>
      </c>
      <c r="B109" s="146">
        <v>28800.0</v>
      </c>
      <c r="F109" s="129"/>
    </row>
    <row r="110" ht="15.75" customHeight="1">
      <c r="A110" s="147">
        <v>700.0</v>
      </c>
      <c r="B110" s="146">
        <v>32500.0</v>
      </c>
      <c r="F110" s="129"/>
    </row>
    <row r="111" ht="15.75" customHeight="1">
      <c r="A111" s="147">
        <v>800.0</v>
      </c>
      <c r="B111" s="146">
        <v>36800.0</v>
      </c>
      <c r="F111" s="129"/>
    </row>
    <row r="112" ht="15.75" customHeight="1">
      <c r="A112" s="147">
        <v>900.0</v>
      </c>
      <c r="B112" s="146">
        <v>41000.0</v>
      </c>
      <c r="F112" s="129"/>
    </row>
    <row r="113" ht="15.75" customHeight="1">
      <c r="A113" s="148">
        <v>1000.0</v>
      </c>
      <c r="B113" s="146">
        <v>45000.0</v>
      </c>
      <c r="F113" s="129"/>
    </row>
    <row r="114" ht="15.75" customHeight="1">
      <c r="A114" s="148">
        <v>1100.0</v>
      </c>
      <c r="B114" s="146">
        <v>49000.0</v>
      </c>
      <c r="F114" s="129"/>
    </row>
    <row r="115" ht="15.75" customHeight="1">
      <c r="A115" s="148">
        <v>1200.0</v>
      </c>
      <c r="B115" s="146">
        <v>52800.0</v>
      </c>
      <c r="F115" s="129"/>
    </row>
    <row r="116" ht="15.75" customHeight="1">
      <c r="A116" s="148">
        <v>1300.0</v>
      </c>
      <c r="B116" s="146">
        <v>56600.0</v>
      </c>
      <c r="F116" s="129"/>
    </row>
    <row r="117" ht="15.75" customHeight="1">
      <c r="A117" s="148">
        <v>1400.0</v>
      </c>
      <c r="B117" s="146">
        <v>60500.0</v>
      </c>
      <c r="F117" s="129"/>
    </row>
    <row r="118" ht="15.75" customHeight="1">
      <c r="A118" s="148">
        <v>1500.0</v>
      </c>
      <c r="B118" s="146">
        <v>60200.0</v>
      </c>
      <c r="F118" s="129"/>
    </row>
    <row r="119" ht="15.75" customHeight="1">
      <c r="A119" s="148">
        <v>1600.0</v>
      </c>
      <c r="B119" s="146">
        <v>68800.0</v>
      </c>
      <c r="F119" s="129"/>
    </row>
    <row r="120" ht="15.75" customHeight="1">
      <c r="A120" s="148">
        <v>1700.0</v>
      </c>
      <c r="B120" s="146">
        <v>73100.0</v>
      </c>
      <c r="F120" s="129"/>
    </row>
    <row r="121" ht="15.75" customHeight="1">
      <c r="A121" s="148">
        <v>1800.0</v>
      </c>
      <c r="B121" s="146">
        <v>77400.0</v>
      </c>
      <c r="F121" s="129"/>
    </row>
    <row r="122" ht="15.75" customHeight="1">
      <c r="A122" s="148">
        <v>1900.0</v>
      </c>
      <c r="B122" s="146">
        <v>80700.0</v>
      </c>
      <c r="F122" s="129"/>
    </row>
    <row r="123" ht="15.75" customHeight="1">
      <c r="A123" s="148">
        <v>2000.0</v>
      </c>
      <c r="B123" s="146">
        <v>85000.0</v>
      </c>
      <c r="F123" s="129"/>
    </row>
    <row r="124" ht="15.75" customHeight="1">
      <c r="A124" s="148">
        <v>2100.0</v>
      </c>
      <c r="B124" s="146">
        <v>89300.0</v>
      </c>
      <c r="F124" s="129"/>
    </row>
    <row r="125" ht="15.75" customHeight="1">
      <c r="A125" s="148">
        <v>2200.0</v>
      </c>
      <c r="B125" s="146">
        <v>93500.0</v>
      </c>
      <c r="F125" s="129"/>
    </row>
    <row r="126" ht="15.75" customHeight="1">
      <c r="A126" s="148">
        <v>2300.0</v>
      </c>
      <c r="B126" s="146">
        <v>97800.0</v>
      </c>
      <c r="F126" s="129"/>
    </row>
    <row r="127" ht="15.75" customHeight="1">
      <c r="A127" s="148">
        <v>2400.0</v>
      </c>
      <c r="B127" s="146">
        <v>102000.0</v>
      </c>
      <c r="F127" s="129"/>
    </row>
    <row r="128" ht="15.75" customHeight="1">
      <c r="A128" s="148">
        <v>2500.0</v>
      </c>
      <c r="B128" s="146">
        <v>106300.0</v>
      </c>
      <c r="F128" s="129"/>
    </row>
    <row r="129" ht="15.75" customHeight="1">
      <c r="A129" s="148">
        <v>2600.0</v>
      </c>
      <c r="B129" s="146">
        <v>109200.0</v>
      </c>
      <c r="F129" s="129"/>
    </row>
    <row r="130" ht="15.75" customHeight="1">
      <c r="A130" s="148">
        <v>2700.0</v>
      </c>
      <c r="B130" s="146">
        <v>113400.0</v>
      </c>
      <c r="F130" s="129"/>
    </row>
    <row r="131" ht="15.75" customHeight="1">
      <c r="A131" s="148">
        <v>2800.0</v>
      </c>
      <c r="B131" s="146">
        <v>117600.0</v>
      </c>
      <c r="F131" s="129"/>
    </row>
    <row r="132" ht="15.75" customHeight="1">
      <c r="A132" s="148">
        <v>2900.0</v>
      </c>
      <c r="B132" s="146">
        <v>121800.0</v>
      </c>
      <c r="F132" s="129"/>
    </row>
    <row r="133" ht="15.75" customHeight="1">
      <c r="A133" s="148">
        <v>3000.0</v>
      </c>
      <c r="B133" s="146">
        <v>126000.0</v>
      </c>
      <c r="C133" s="118" t="s">
        <v>505</v>
      </c>
      <c r="F133" s="129"/>
    </row>
    <row r="134" ht="15.75" customHeight="1">
      <c r="C134" s="118" t="s">
        <v>506</v>
      </c>
      <c r="F134" s="129"/>
    </row>
    <row r="135" ht="15.75" customHeight="1">
      <c r="F135" s="129"/>
    </row>
    <row r="136" ht="15.75" customHeight="1">
      <c r="F136" s="129"/>
    </row>
    <row r="137" ht="15.75" customHeight="1">
      <c r="F137" s="129"/>
    </row>
    <row r="138" ht="15.75" customHeight="1">
      <c r="F138" s="129"/>
    </row>
    <row r="139" ht="15.75" customHeight="1">
      <c r="F139" s="129"/>
    </row>
    <row r="140" ht="15.75" customHeight="1">
      <c r="F140" s="129"/>
    </row>
    <row r="141" ht="15.75" customHeight="1">
      <c r="F141" s="129"/>
    </row>
    <row r="142" ht="15.75" customHeight="1">
      <c r="F142" s="129"/>
    </row>
    <row r="143" ht="15.75" customHeight="1">
      <c r="F143" s="129"/>
    </row>
    <row r="144" ht="15.75" customHeight="1">
      <c r="F144" s="129"/>
    </row>
    <row r="145" ht="15.75" customHeight="1">
      <c r="F145" s="129"/>
    </row>
    <row r="146" ht="15.75" customHeight="1">
      <c r="F146" s="129"/>
    </row>
    <row r="147" ht="15.75" customHeight="1">
      <c r="F147" s="129"/>
    </row>
    <row r="148" ht="15.75" customHeight="1">
      <c r="F148" s="129"/>
    </row>
    <row r="149" ht="15.75" customHeight="1">
      <c r="F149" s="129"/>
    </row>
    <row r="150" ht="15.75" customHeight="1">
      <c r="F150" s="129"/>
    </row>
    <row r="151" ht="15.75" customHeight="1">
      <c r="F151" s="129"/>
    </row>
    <row r="152" ht="15.75" customHeight="1">
      <c r="F152" s="129"/>
    </row>
    <row r="153" ht="15.75" customHeight="1">
      <c r="F153" s="129"/>
    </row>
    <row r="154" ht="15.75" customHeight="1">
      <c r="F154" s="129"/>
    </row>
    <row r="155" ht="15.75" customHeight="1">
      <c r="F155" s="129"/>
    </row>
    <row r="156" ht="15.75" customHeight="1">
      <c r="F156" s="129"/>
    </row>
    <row r="157" ht="15.75" customHeight="1">
      <c r="F157" s="129"/>
    </row>
    <row r="158" ht="15.75" customHeight="1">
      <c r="F158" s="129"/>
    </row>
    <row r="159" ht="15.75" customHeight="1">
      <c r="F159" s="129"/>
    </row>
    <row r="160" ht="15.75" customHeight="1">
      <c r="F160" s="129"/>
    </row>
    <row r="161" ht="15.75" customHeight="1">
      <c r="F161" s="129"/>
    </row>
    <row r="162" ht="15.75" customHeight="1">
      <c r="F162" s="129"/>
    </row>
    <row r="163" ht="15.75" customHeight="1">
      <c r="F163" s="129"/>
    </row>
    <row r="164" ht="15.75" customHeight="1">
      <c r="F164" s="129"/>
    </row>
    <row r="165" ht="15.75" customHeight="1">
      <c r="F165" s="129"/>
    </row>
    <row r="166" ht="15.75" customHeight="1">
      <c r="F166" s="129"/>
    </row>
    <row r="167" ht="15.75" customHeight="1">
      <c r="F167" s="129"/>
    </row>
    <row r="168" ht="15.75" customHeight="1">
      <c r="F168" s="129"/>
    </row>
    <row r="169" ht="15.75" customHeight="1">
      <c r="F169" s="129"/>
    </row>
    <row r="170" ht="15.75" customHeight="1">
      <c r="F170" s="129"/>
    </row>
    <row r="171" ht="15.75" customHeight="1">
      <c r="F171" s="129"/>
    </row>
    <row r="172" ht="15.75" customHeight="1">
      <c r="F172" s="129"/>
    </row>
    <row r="173" ht="15.75" customHeight="1">
      <c r="F173" s="129"/>
    </row>
    <row r="174" ht="15.75" customHeight="1">
      <c r="F174" s="129"/>
    </row>
    <row r="175" ht="15.75" customHeight="1">
      <c r="F175" s="129"/>
    </row>
    <row r="176" ht="15.75" customHeight="1">
      <c r="F176" s="129"/>
    </row>
    <row r="177" ht="15.75" customHeight="1">
      <c r="F177" s="129"/>
    </row>
    <row r="178" ht="15.75" customHeight="1">
      <c r="F178" s="129"/>
    </row>
    <row r="179" ht="15.75" customHeight="1">
      <c r="F179" s="129"/>
    </row>
    <row r="180" ht="15.75" customHeight="1">
      <c r="F180" s="129"/>
    </row>
    <row r="181" ht="15.75" customHeight="1">
      <c r="F181" s="129"/>
    </row>
    <row r="182" ht="15.75" customHeight="1">
      <c r="F182" s="129"/>
    </row>
    <row r="183" ht="15.75" customHeight="1">
      <c r="F183" s="129"/>
    </row>
    <row r="184" ht="15.75" customHeight="1">
      <c r="F184" s="129"/>
    </row>
    <row r="185" ht="15.75" customHeight="1">
      <c r="F185" s="129"/>
    </row>
    <row r="186" ht="15.75" customHeight="1">
      <c r="F186" s="129"/>
    </row>
    <row r="187" ht="15.75" customHeight="1">
      <c r="F187" s="129"/>
    </row>
    <row r="188" ht="15.75" customHeight="1">
      <c r="F188" s="129"/>
    </row>
    <row r="189" ht="15.75" customHeight="1">
      <c r="F189" s="129"/>
    </row>
    <row r="190" ht="15.75" customHeight="1">
      <c r="F190" s="129"/>
    </row>
    <row r="191" ht="15.75" customHeight="1">
      <c r="F191" s="129"/>
    </row>
    <row r="192" ht="15.75" customHeight="1">
      <c r="F192" s="129"/>
    </row>
    <row r="193" ht="15.75" customHeight="1">
      <c r="F193" s="129"/>
    </row>
    <row r="194" ht="15.75" customHeight="1">
      <c r="F194" s="129"/>
    </row>
    <row r="195" ht="15.75" customHeight="1">
      <c r="F195" s="129"/>
    </row>
    <row r="196" ht="15.75" customHeight="1">
      <c r="F196" s="129"/>
    </row>
    <row r="197" ht="15.75" customHeight="1">
      <c r="F197" s="129"/>
    </row>
    <row r="198" ht="15.75" customHeight="1">
      <c r="F198" s="129"/>
    </row>
    <row r="199" ht="15.75" customHeight="1">
      <c r="F199" s="129"/>
    </row>
    <row r="200" ht="15.75" customHeight="1">
      <c r="F200" s="129"/>
    </row>
    <row r="201" ht="15.75" customHeight="1">
      <c r="F201" s="129"/>
    </row>
    <row r="202" ht="15.75" customHeight="1">
      <c r="F202" s="129"/>
    </row>
    <row r="203" ht="15.75" customHeight="1">
      <c r="F203" s="129"/>
    </row>
    <row r="204" ht="15.75" customHeight="1">
      <c r="F204" s="129"/>
    </row>
    <row r="205" ht="15.75" customHeight="1">
      <c r="F205" s="129"/>
    </row>
    <row r="206" ht="15.75" customHeight="1">
      <c r="F206" s="129"/>
    </row>
    <row r="207" ht="15.75" customHeight="1">
      <c r="F207" s="129"/>
    </row>
    <row r="208" ht="15.75" customHeight="1">
      <c r="F208" s="129"/>
    </row>
    <row r="209" ht="15.75" customHeight="1">
      <c r="F209" s="129"/>
    </row>
    <row r="210" ht="15.75" customHeight="1">
      <c r="F210" s="129"/>
    </row>
    <row r="211" ht="15.75" customHeight="1">
      <c r="F211" s="129"/>
    </row>
    <row r="212" ht="15.75" customHeight="1">
      <c r="F212" s="129"/>
    </row>
    <row r="213" ht="15.75" customHeight="1">
      <c r="F213" s="129"/>
    </row>
    <row r="214" ht="15.75" customHeight="1">
      <c r="F214" s="129"/>
    </row>
    <row r="215" ht="15.75" customHeight="1">
      <c r="F215" s="129"/>
    </row>
    <row r="216" ht="15.75" customHeight="1">
      <c r="F216" s="129"/>
    </row>
    <row r="217" ht="15.75" customHeight="1">
      <c r="F217" s="129"/>
    </row>
    <row r="218" ht="15.75" customHeight="1">
      <c r="F218" s="129"/>
    </row>
    <row r="219" ht="15.75" customHeight="1">
      <c r="F219" s="129"/>
    </row>
    <row r="220" ht="15.75" customHeight="1">
      <c r="F220" s="129"/>
    </row>
    <row r="221" ht="15.75" customHeight="1">
      <c r="F221" s="129"/>
    </row>
    <row r="222" ht="15.75" customHeight="1">
      <c r="F222" s="129"/>
    </row>
    <row r="223" ht="15.75" customHeight="1">
      <c r="F223" s="129"/>
    </row>
    <row r="224" ht="15.75" customHeight="1">
      <c r="F224" s="129"/>
    </row>
    <row r="225" ht="15.75" customHeight="1">
      <c r="F225" s="129"/>
    </row>
    <row r="226" ht="15.75" customHeight="1">
      <c r="F226" s="129"/>
    </row>
    <row r="227" ht="15.75" customHeight="1">
      <c r="F227" s="129"/>
    </row>
    <row r="228" ht="15.75" customHeight="1">
      <c r="F228" s="129"/>
    </row>
    <row r="229" ht="15.75" customHeight="1">
      <c r="F229" s="129"/>
    </row>
    <row r="230" ht="15.75" customHeight="1">
      <c r="F230" s="129"/>
    </row>
    <row r="231" ht="15.75" customHeight="1">
      <c r="F231" s="129"/>
    </row>
    <row r="232" ht="15.75" customHeight="1">
      <c r="F232" s="129"/>
    </row>
    <row r="233" ht="15.75" customHeight="1">
      <c r="F233" s="129"/>
    </row>
    <row r="234" ht="15.75" customHeight="1">
      <c r="F234" s="129"/>
    </row>
    <row r="235" ht="15.75" customHeight="1">
      <c r="F235" s="129"/>
    </row>
    <row r="236" ht="15.75" customHeight="1">
      <c r="F236" s="129"/>
    </row>
    <row r="237" ht="15.75" customHeight="1">
      <c r="F237" s="129"/>
    </row>
    <row r="238" ht="15.75" customHeight="1">
      <c r="F238" s="129"/>
    </row>
    <row r="239" ht="15.75" customHeight="1">
      <c r="F239" s="129"/>
    </row>
    <row r="240" ht="15.75" customHeight="1">
      <c r="F240" s="129"/>
    </row>
    <row r="241" ht="15.75" customHeight="1">
      <c r="F241" s="129"/>
    </row>
    <row r="242" ht="15.75" customHeight="1">
      <c r="F242" s="129"/>
    </row>
    <row r="243" ht="15.75" customHeight="1">
      <c r="F243" s="129"/>
    </row>
    <row r="244" ht="15.75" customHeight="1">
      <c r="F244" s="129"/>
    </row>
    <row r="245" ht="15.75" customHeight="1">
      <c r="F245" s="129"/>
    </row>
    <row r="246" ht="15.75" customHeight="1">
      <c r="F246" s="129"/>
    </row>
    <row r="247" ht="15.75" customHeight="1">
      <c r="F247" s="129"/>
    </row>
    <row r="248" ht="15.75" customHeight="1">
      <c r="F248" s="129"/>
    </row>
    <row r="249" ht="15.75" customHeight="1">
      <c r="F249" s="129"/>
    </row>
    <row r="250" ht="15.75" customHeight="1">
      <c r="F250" s="129"/>
    </row>
    <row r="251" ht="15.75" customHeight="1">
      <c r="F251" s="129"/>
    </row>
    <row r="252" ht="15.75" customHeight="1">
      <c r="F252" s="129"/>
    </row>
    <row r="253" ht="15.75" customHeight="1">
      <c r="F253" s="129"/>
    </row>
    <row r="254" ht="15.75" customHeight="1">
      <c r="F254" s="129"/>
    </row>
    <row r="255" ht="15.75" customHeight="1">
      <c r="F255" s="129"/>
    </row>
    <row r="256" ht="15.75" customHeight="1">
      <c r="F256" s="129"/>
    </row>
    <row r="257" ht="15.75" customHeight="1">
      <c r="F257" s="129"/>
    </row>
    <row r="258" ht="15.75" customHeight="1">
      <c r="F258" s="129"/>
    </row>
    <row r="259" ht="15.75" customHeight="1">
      <c r="F259" s="129"/>
    </row>
    <row r="260" ht="15.75" customHeight="1">
      <c r="F260" s="129"/>
    </row>
    <row r="261" ht="15.75" customHeight="1">
      <c r="F261" s="129"/>
    </row>
    <row r="262" ht="15.75" customHeight="1">
      <c r="F262" s="129"/>
    </row>
    <row r="263" ht="15.75" customHeight="1">
      <c r="F263" s="129"/>
    </row>
    <row r="264" ht="15.75" customHeight="1">
      <c r="F264" s="129"/>
    </row>
    <row r="265" ht="15.75" customHeight="1">
      <c r="F265" s="129"/>
    </row>
    <row r="266" ht="15.75" customHeight="1">
      <c r="F266" s="129"/>
    </row>
    <row r="267" ht="15.75" customHeight="1">
      <c r="F267" s="129"/>
    </row>
    <row r="268" ht="15.75" customHeight="1">
      <c r="F268" s="129"/>
    </row>
    <row r="269" ht="15.75" customHeight="1">
      <c r="F269" s="129"/>
    </row>
    <row r="270" ht="15.75" customHeight="1">
      <c r="F270" s="129"/>
    </row>
    <row r="271" ht="15.75" customHeight="1">
      <c r="F271" s="129"/>
    </row>
    <row r="272" ht="15.75" customHeight="1">
      <c r="F272" s="129"/>
    </row>
    <row r="273" ht="15.75" customHeight="1">
      <c r="F273" s="129"/>
    </row>
    <row r="274" ht="15.75" customHeight="1">
      <c r="F274" s="129"/>
    </row>
    <row r="275" ht="15.75" customHeight="1">
      <c r="F275" s="129"/>
    </row>
    <row r="276" ht="15.75" customHeight="1">
      <c r="F276" s="129"/>
    </row>
    <row r="277" ht="15.75" customHeight="1">
      <c r="F277" s="129"/>
    </row>
    <row r="278" ht="15.75" customHeight="1">
      <c r="F278" s="129"/>
    </row>
    <row r="279" ht="15.75" customHeight="1">
      <c r="F279" s="129"/>
    </row>
    <row r="280" ht="15.75" customHeight="1">
      <c r="F280" s="129"/>
    </row>
    <row r="281" ht="15.75" customHeight="1">
      <c r="F281" s="129"/>
    </row>
    <row r="282" ht="15.75" customHeight="1">
      <c r="F282" s="129"/>
    </row>
    <row r="283" ht="15.75" customHeight="1">
      <c r="F283" s="129"/>
    </row>
    <row r="284" ht="15.75" customHeight="1">
      <c r="F284" s="129"/>
    </row>
    <row r="285" ht="15.75" customHeight="1">
      <c r="F285" s="129"/>
    </row>
    <row r="286" ht="15.75" customHeight="1">
      <c r="F286" s="129"/>
    </row>
    <row r="287" ht="15.75" customHeight="1">
      <c r="F287" s="129"/>
    </row>
    <row r="288" ht="15.75" customHeight="1">
      <c r="F288" s="129"/>
    </row>
    <row r="289" ht="15.75" customHeight="1">
      <c r="F289" s="129"/>
    </row>
    <row r="290" ht="15.75" customHeight="1">
      <c r="F290" s="129"/>
    </row>
    <row r="291" ht="15.75" customHeight="1">
      <c r="F291" s="129"/>
    </row>
    <row r="292" ht="15.75" customHeight="1">
      <c r="F292" s="129"/>
    </row>
    <row r="293" ht="15.75" customHeight="1">
      <c r="F293" s="129"/>
    </row>
    <row r="294" ht="15.75" customHeight="1">
      <c r="F294" s="129"/>
    </row>
    <row r="295" ht="15.75" customHeight="1">
      <c r="F295" s="129"/>
    </row>
    <row r="296" ht="15.75" customHeight="1">
      <c r="F296" s="129"/>
    </row>
    <row r="297" ht="15.75" customHeight="1">
      <c r="F297" s="129"/>
    </row>
    <row r="298" ht="15.75" customHeight="1">
      <c r="F298" s="129"/>
    </row>
    <row r="299" ht="15.75" customHeight="1">
      <c r="F299" s="129"/>
    </row>
    <row r="300" ht="15.75" customHeight="1">
      <c r="F300" s="129"/>
    </row>
    <row r="301" ht="15.75" customHeight="1">
      <c r="F301" s="129"/>
    </row>
    <row r="302" ht="15.75" customHeight="1">
      <c r="F302" s="129"/>
    </row>
    <row r="303" ht="15.75" customHeight="1">
      <c r="F303" s="129"/>
    </row>
    <row r="304" ht="15.75" customHeight="1">
      <c r="F304" s="129"/>
    </row>
    <row r="305" ht="15.75" customHeight="1">
      <c r="F305" s="129"/>
    </row>
    <row r="306" ht="15.75" customHeight="1">
      <c r="F306" s="129"/>
    </row>
    <row r="307" ht="15.75" customHeight="1">
      <c r="F307" s="129"/>
    </row>
    <row r="308" ht="15.75" customHeight="1">
      <c r="F308" s="129"/>
    </row>
    <row r="309" ht="15.75" customHeight="1">
      <c r="F309" s="129"/>
    </row>
    <row r="310" ht="15.75" customHeight="1">
      <c r="F310" s="129"/>
    </row>
    <row r="311" ht="15.75" customHeight="1">
      <c r="F311" s="129"/>
    </row>
    <row r="312" ht="15.75" customHeight="1">
      <c r="F312" s="129"/>
    </row>
    <row r="313" ht="15.75" customHeight="1">
      <c r="F313" s="129"/>
    </row>
    <row r="314" ht="15.75" customHeight="1">
      <c r="F314" s="129"/>
    </row>
    <row r="315" ht="15.75" customHeight="1">
      <c r="F315" s="129"/>
    </row>
    <row r="316" ht="15.75" customHeight="1">
      <c r="F316" s="129"/>
    </row>
    <row r="317" ht="15.75" customHeight="1">
      <c r="F317" s="129"/>
    </row>
    <row r="318" ht="15.75" customHeight="1">
      <c r="F318" s="129"/>
    </row>
    <row r="319" ht="15.75" customHeight="1">
      <c r="F319" s="129"/>
    </row>
    <row r="320" ht="15.75" customHeight="1">
      <c r="F320" s="129"/>
    </row>
    <row r="321" ht="15.75" customHeight="1">
      <c r="F321" s="129"/>
    </row>
    <row r="322" ht="15.75" customHeight="1">
      <c r="F322" s="129"/>
    </row>
    <row r="323" ht="15.75" customHeight="1">
      <c r="F323" s="129"/>
    </row>
    <row r="324" ht="15.75" customHeight="1">
      <c r="F324" s="129"/>
    </row>
    <row r="325" ht="15.75" customHeight="1">
      <c r="F325" s="129"/>
    </row>
    <row r="326" ht="15.75" customHeight="1">
      <c r="F326" s="129"/>
    </row>
    <row r="327" ht="15.75" customHeight="1">
      <c r="F327" s="129"/>
    </row>
    <row r="328" ht="15.75" customHeight="1">
      <c r="F328" s="129"/>
    </row>
    <row r="329" ht="15.75" customHeight="1">
      <c r="F329" s="129"/>
    </row>
    <row r="330" ht="15.75" customHeight="1">
      <c r="F330" s="129"/>
    </row>
    <row r="331" ht="15.75" customHeight="1">
      <c r="F331" s="129"/>
    </row>
    <row r="332" ht="15.75" customHeight="1">
      <c r="F332" s="129"/>
    </row>
    <row r="333" ht="15.75" customHeight="1">
      <c r="F333" s="129"/>
    </row>
    <row r="334" ht="15.75" customHeight="1">
      <c r="F334" s="129"/>
    </row>
    <row r="335" ht="15.75" customHeight="1">
      <c r="F335" s="129"/>
    </row>
    <row r="336" ht="15.75" customHeight="1">
      <c r="F336" s="129"/>
    </row>
    <row r="337" ht="15.75" customHeight="1">
      <c r="F337" s="129"/>
    </row>
    <row r="338" ht="15.75" customHeight="1">
      <c r="F338" s="129"/>
    </row>
    <row r="339" ht="15.75" customHeight="1">
      <c r="F339" s="129"/>
    </row>
    <row r="340" ht="15.75" customHeight="1">
      <c r="F340" s="129"/>
    </row>
    <row r="341" ht="15.75" customHeight="1">
      <c r="F341" s="129"/>
    </row>
    <row r="342" ht="15.75" customHeight="1">
      <c r="F342" s="129"/>
    </row>
    <row r="343" ht="15.75" customHeight="1">
      <c r="F343" s="129"/>
    </row>
    <row r="344" ht="15.75" customHeight="1">
      <c r="F344" s="129"/>
    </row>
    <row r="345" ht="15.75" customHeight="1">
      <c r="F345" s="129"/>
    </row>
    <row r="346" ht="15.75" customHeight="1">
      <c r="F346" s="129"/>
    </row>
    <row r="347" ht="15.75" customHeight="1">
      <c r="F347" s="129"/>
    </row>
    <row r="348" ht="15.75" customHeight="1">
      <c r="F348" s="129"/>
    </row>
    <row r="349" ht="15.75" customHeight="1">
      <c r="F349" s="129"/>
    </row>
    <row r="350" ht="15.75" customHeight="1">
      <c r="F350" s="129"/>
    </row>
    <row r="351" ht="15.75" customHeight="1">
      <c r="F351" s="129"/>
    </row>
    <row r="352" ht="15.75" customHeight="1">
      <c r="F352" s="129"/>
    </row>
    <row r="353" ht="15.75" customHeight="1">
      <c r="F353" s="129"/>
    </row>
    <row r="354" ht="15.75" customHeight="1">
      <c r="F354" s="129"/>
    </row>
    <row r="355" ht="15.75" customHeight="1">
      <c r="F355" s="129"/>
    </row>
    <row r="356" ht="15.75" customHeight="1">
      <c r="F356" s="129"/>
    </row>
    <row r="357" ht="15.75" customHeight="1">
      <c r="F357" s="129"/>
    </row>
    <row r="358" ht="15.75" customHeight="1">
      <c r="F358" s="129"/>
    </row>
    <row r="359" ht="15.75" customHeight="1">
      <c r="F359" s="129"/>
    </row>
    <row r="360" ht="15.75" customHeight="1">
      <c r="F360" s="129"/>
    </row>
    <row r="361" ht="15.75" customHeight="1">
      <c r="F361" s="129"/>
    </row>
    <row r="362" ht="15.75" customHeight="1">
      <c r="F362" s="129"/>
    </row>
    <row r="363" ht="15.75" customHeight="1">
      <c r="F363" s="129"/>
    </row>
    <row r="364" ht="15.75" customHeight="1">
      <c r="F364" s="129"/>
    </row>
    <row r="365" ht="15.75" customHeight="1">
      <c r="F365" s="129"/>
    </row>
    <row r="366" ht="15.75" customHeight="1">
      <c r="F366" s="129"/>
    </row>
    <row r="367" ht="15.75" customHeight="1">
      <c r="F367" s="129"/>
    </row>
    <row r="368" ht="15.75" customHeight="1">
      <c r="F368" s="129"/>
    </row>
    <row r="369" ht="15.75" customHeight="1">
      <c r="F369" s="129"/>
    </row>
    <row r="370" ht="15.75" customHeight="1">
      <c r="F370" s="129"/>
    </row>
    <row r="371" ht="15.75" customHeight="1">
      <c r="F371" s="129"/>
    </row>
    <row r="372" ht="15.75" customHeight="1">
      <c r="F372" s="129"/>
    </row>
    <row r="373" ht="15.75" customHeight="1">
      <c r="F373" s="129"/>
    </row>
    <row r="374" ht="15.75" customHeight="1">
      <c r="F374" s="129"/>
    </row>
    <row r="375" ht="15.75" customHeight="1">
      <c r="F375" s="129"/>
    </row>
    <row r="376" ht="15.75" customHeight="1">
      <c r="F376" s="129"/>
    </row>
    <row r="377" ht="15.75" customHeight="1">
      <c r="F377" s="129"/>
    </row>
    <row r="378" ht="15.75" customHeight="1">
      <c r="F378" s="129"/>
    </row>
    <row r="379" ht="15.75" customHeight="1">
      <c r="F379" s="129"/>
    </row>
    <row r="380" ht="15.75" customHeight="1">
      <c r="F380" s="129"/>
    </row>
    <row r="381" ht="15.75" customHeight="1">
      <c r="F381" s="129"/>
    </row>
    <row r="382" ht="15.75" customHeight="1">
      <c r="F382" s="129"/>
    </row>
    <row r="383" ht="15.75" customHeight="1">
      <c r="F383" s="129"/>
    </row>
    <row r="384" ht="15.75" customHeight="1">
      <c r="F384" s="129"/>
    </row>
    <row r="385" ht="15.75" customHeight="1">
      <c r="F385" s="129"/>
    </row>
    <row r="386" ht="15.75" customHeight="1">
      <c r="F386" s="129"/>
    </row>
    <row r="387" ht="15.75" customHeight="1">
      <c r="F387" s="129"/>
    </row>
    <row r="388" ht="15.75" customHeight="1">
      <c r="F388" s="129"/>
    </row>
    <row r="389" ht="15.75" customHeight="1">
      <c r="F389" s="129"/>
    </row>
    <row r="390" ht="15.75" customHeight="1">
      <c r="F390" s="129"/>
    </row>
    <row r="391" ht="15.75" customHeight="1">
      <c r="F391" s="129"/>
    </row>
    <row r="392" ht="15.75" customHeight="1">
      <c r="F392" s="129"/>
    </row>
    <row r="393" ht="15.75" customHeight="1">
      <c r="F393" s="129"/>
    </row>
    <row r="394" ht="15.75" customHeight="1">
      <c r="F394" s="129"/>
    </row>
    <row r="395" ht="15.75" customHeight="1">
      <c r="F395" s="129"/>
    </row>
    <row r="396" ht="15.75" customHeight="1">
      <c r="F396" s="129"/>
    </row>
    <row r="397" ht="15.75" customHeight="1">
      <c r="F397" s="129"/>
    </row>
    <row r="398" ht="15.75" customHeight="1">
      <c r="F398" s="129"/>
    </row>
    <row r="399" ht="15.75" customHeight="1">
      <c r="F399" s="129"/>
    </row>
    <row r="400" ht="15.75" customHeight="1">
      <c r="F400" s="129"/>
    </row>
    <row r="401" ht="15.75" customHeight="1">
      <c r="F401" s="129"/>
    </row>
    <row r="402" ht="15.75" customHeight="1">
      <c r="F402" s="129"/>
    </row>
    <row r="403" ht="15.75" customHeight="1">
      <c r="F403" s="129"/>
    </row>
    <row r="404" ht="15.75" customHeight="1">
      <c r="F404" s="129"/>
    </row>
    <row r="405" ht="15.75" customHeight="1">
      <c r="F405" s="129"/>
    </row>
    <row r="406" ht="15.75" customHeight="1">
      <c r="F406" s="129"/>
    </row>
    <row r="407" ht="15.75" customHeight="1">
      <c r="F407" s="129"/>
    </row>
    <row r="408" ht="15.75" customHeight="1">
      <c r="F408" s="129"/>
    </row>
    <row r="409" ht="15.75" customHeight="1">
      <c r="F409" s="129"/>
    </row>
    <row r="410" ht="15.75" customHeight="1">
      <c r="F410" s="129"/>
    </row>
    <row r="411" ht="15.75" customHeight="1">
      <c r="F411" s="129"/>
    </row>
    <row r="412" ht="15.75" customHeight="1">
      <c r="F412" s="129"/>
    </row>
    <row r="413" ht="15.75" customHeight="1">
      <c r="F413" s="129"/>
    </row>
    <row r="414" ht="15.75" customHeight="1">
      <c r="F414" s="129"/>
    </row>
    <row r="415" ht="15.75" customHeight="1">
      <c r="F415" s="129"/>
    </row>
    <row r="416" ht="15.75" customHeight="1">
      <c r="F416" s="129"/>
    </row>
    <row r="417" ht="15.75" customHeight="1">
      <c r="F417" s="129"/>
    </row>
    <row r="418" ht="15.75" customHeight="1">
      <c r="F418" s="129"/>
    </row>
    <row r="419" ht="15.75" customHeight="1">
      <c r="F419" s="129"/>
    </row>
    <row r="420" ht="15.75" customHeight="1">
      <c r="F420" s="129"/>
    </row>
    <row r="421" ht="15.75" customHeight="1">
      <c r="F421" s="129"/>
    </row>
    <row r="422" ht="15.75" customHeight="1">
      <c r="F422" s="129"/>
    </row>
    <row r="423" ht="15.75" customHeight="1">
      <c r="F423" s="129"/>
    </row>
    <row r="424" ht="15.75" customHeight="1">
      <c r="F424" s="129"/>
    </row>
    <row r="425" ht="15.75" customHeight="1">
      <c r="F425" s="129"/>
    </row>
    <row r="426" ht="15.75" customHeight="1">
      <c r="F426" s="129"/>
    </row>
    <row r="427" ht="15.75" customHeight="1">
      <c r="F427" s="129"/>
    </row>
    <row r="428" ht="15.75" customHeight="1">
      <c r="F428" s="129"/>
    </row>
    <row r="429" ht="15.75" customHeight="1">
      <c r="F429" s="129"/>
    </row>
    <row r="430" ht="15.75" customHeight="1">
      <c r="F430" s="129"/>
    </row>
    <row r="431" ht="15.75" customHeight="1">
      <c r="F431" s="129"/>
    </row>
    <row r="432" ht="15.75" customHeight="1">
      <c r="F432" s="129"/>
    </row>
    <row r="433" ht="15.75" customHeight="1">
      <c r="F433" s="129"/>
    </row>
    <row r="434" ht="15.75" customHeight="1">
      <c r="F434" s="129"/>
    </row>
    <row r="435" ht="15.75" customHeight="1">
      <c r="F435" s="129"/>
    </row>
    <row r="436" ht="15.75" customHeight="1">
      <c r="F436" s="129"/>
    </row>
    <row r="437" ht="15.75" customHeight="1">
      <c r="F437" s="129"/>
    </row>
    <row r="438" ht="15.75" customHeight="1">
      <c r="F438" s="129"/>
    </row>
    <row r="439" ht="15.75" customHeight="1">
      <c r="F439" s="129"/>
    </row>
    <row r="440" ht="15.75" customHeight="1">
      <c r="F440" s="129"/>
    </row>
    <row r="441" ht="15.75" customHeight="1">
      <c r="F441" s="129"/>
    </row>
    <row r="442" ht="15.75" customHeight="1">
      <c r="F442" s="129"/>
    </row>
    <row r="443" ht="15.75" customHeight="1">
      <c r="F443" s="129"/>
    </row>
    <row r="444" ht="15.75" customHeight="1">
      <c r="F444" s="129"/>
    </row>
    <row r="445" ht="15.75" customHeight="1">
      <c r="F445" s="129"/>
    </row>
    <row r="446" ht="15.75" customHeight="1">
      <c r="F446" s="129"/>
    </row>
    <row r="447" ht="15.75" customHeight="1">
      <c r="F447" s="129"/>
    </row>
    <row r="448" ht="15.75" customHeight="1">
      <c r="F448" s="129"/>
    </row>
    <row r="449" ht="15.75" customHeight="1">
      <c r="F449" s="129"/>
    </row>
    <row r="450" ht="15.75" customHeight="1">
      <c r="F450" s="129"/>
    </row>
    <row r="451" ht="15.75" customHeight="1">
      <c r="F451" s="129"/>
    </row>
    <row r="452" ht="15.75" customHeight="1">
      <c r="F452" s="129"/>
    </row>
    <row r="453" ht="15.75" customHeight="1">
      <c r="F453" s="129"/>
    </row>
    <row r="454" ht="15.75" customHeight="1">
      <c r="F454" s="129"/>
    </row>
    <row r="455" ht="15.75" customHeight="1">
      <c r="F455" s="129"/>
    </row>
    <row r="456" ht="15.75" customHeight="1">
      <c r="F456" s="129"/>
    </row>
    <row r="457" ht="15.75" customHeight="1">
      <c r="F457" s="129"/>
    </row>
    <row r="458" ht="15.75" customHeight="1">
      <c r="F458" s="129"/>
    </row>
    <row r="459" ht="15.75" customHeight="1">
      <c r="F459" s="129"/>
    </row>
    <row r="460" ht="15.75" customHeight="1">
      <c r="F460" s="129"/>
    </row>
    <row r="461" ht="15.75" customHeight="1">
      <c r="F461" s="129"/>
    </row>
    <row r="462" ht="15.75" customHeight="1">
      <c r="F462" s="129"/>
    </row>
    <row r="463" ht="15.75" customHeight="1">
      <c r="F463" s="129"/>
    </row>
    <row r="464" ht="15.75" customHeight="1">
      <c r="F464" s="129"/>
    </row>
    <row r="465" ht="15.75" customHeight="1">
      <c r="F465" s="129"/>
    </row>
    <row r="466" ht="15.75" customHeight="1">
      <c r="F466" s="129"/>
    </row>
    <row r="467" ht="15.75" customHeight="1">
      <c r="F467" s="129"/>
    </row>
    <row r="468" ht="15.75" customHeight="1">
      <c r="F468" s="129"/>
    </row>
    <row r="469" ht="15.75" customHeight="1">
      <c r="F469" s="129"/>
    </row>
    <row r="470" ht="15.75" customHeight="1">
      <c r="F470" s="129"/>
    </row>
    <row r="471" ht="15.75" customHeight="1">
      <c r="F471" s="129"/>
    </row>
    <row r="472" ht="15.75" customHeight="1">
      <c r="F472" s="129"/>
    </row>
    <row r="473" ht="15.75" customHeight="1">
      <c r="F473" s="129"/>
    </row>
    <row r="474" ht="15.75" customHeight="1">
      <c r="F474" s="129"/>
    </row>
    <row r="475" ht="15.75" customHeight="1">
      <c r="F475" s="129"/>
    </row>
    <row r="476" ht="15.75" customHeight="1">
      <c r="F476" s="129"/>
    </row>
    <row r="477" ht="15.75" customHeight="1">
      <c r="F477" s="129"/>
    </row>
    <row r="478" ht="15.75" customHeight="1">
      <c r="F478" s="129"/>
    </row>
    <row r="479" ht="15.75" customHeight="1">
      <c r="F479" s="129"/>
    </row>
    <row r="480" ht="15.75" customHeight="1">
      <c r="F480" s="129"/>
    </row>
    <row r="481" ht="15.75" customHeight="1">
      <c r="F481" s="129"/>
    </row>
    <row r="482" ht="15.75" customHeight="1">
      <c r="F482" s="129"/>
    </row>
    <row r="483" ht="15.75" customHeight="1">
      <c r="F483" s="129"/>
    </row>
    <row r="484" ht="15.75" customHeight="1">
      <c r="F484" s="129"/>
    </row>
    <row r="485" ht="15.75" customHeight="1">
      <c r="F485" s="129"/>
    </row>
    <row r="486" ht="15.75" customHeight="1">
      <c r="F486" s="129"/>
    </row>
    <row r="487" ht="15.75" customHeight="1">
      <c r="F487" s="129"/>
    </row>
    <row r="488" ht="15.75" customHeight="1">
      <c r="F488" s="129"/>
    </row>
    <row r="489" ht="15.75" customHeight="1">
      <c r="F489" s="129"/>
    </row>
    <row r="490" ht="15.75" customHeight="1">
      <c r="F490" s="129"/>
    </row>
    <row r="491" ht="15.75" customHeight="1">
      <c r="F491" s="129"/>
    </row>
    <row r="492" ht="15.75" customHeight="1">
      <c r="F492" s="129"/>
    </row>
    <row r="493" ht="15.75" customHeight="1">
      <c r="F493" s="129"/>
    </row>
    <row r="494" ht="15.75" customHeight="1">
      <c r="F494" s="129"/>
    </row>
    <row r="495" ht="15.75" customHeight="1">
      <c r="F495" s="129"/>
    </row>
    <row r="496" ht="15.75" customHeight="1">
      <c r="F496" s="129"/>
    </row>
    <row r="497" ht="15.75" customHeight="1">
      <c r="F497" s="129"/>
    </row>
    <row r="498" ht="15.75" customHeight="1">
      <c r="F498" s="129"/>
    </row>
    <row r="499" ht="15.75" customHeight="1">
      <c r="F499" s="129"/>
    </row>
    <row r="500" ht="15.75" customHeight="1">
      <c r="F500" s="129"/>
    </row>
    <row r="501" ht="15.75" customHeight="1">
      <c r="F501" s="129"/>
    </row>
    <row r="502" ht="15.75" customHeight="1">
      <c r="F502" s="129"/>
    </row>
    <row r="503" ht="15.75" customHeight="1">
      <c r="F503" s="129"/>
    </row>
    <row r="504" ht="15.75" customHeight="1">
      <c r="F504" s="129"/>
    </row>
    <row r="505" ht="15.75" customHeight="1">
      <c r="F505" s="129"/>
    </row>
    <row r="506" ht="15.75" customHeight="1">
      <c r="F506" s="129"/>
    </row>
    <row r="507" ht="15.75" customHeight="1">
      <c r="F507" s="129"/>
    </row>
    <row r="508" ht="15.75" customHeight="1">
      <c r="F508" s="129"/>
    </row>
    <row r="509" ht="15.75" customHeight="1">
      <c r="F509" s="129"/>
    </row>
    <row r="510" ht="15.75" customHeight="1">
      <c r="F510" s="129"/>
    </row>
    <row r="511" ht="15.75" customHeight="1">
      <c r="F511" s="129"/>
    </row>
    <row r="512" ht="15.75" customHeight="1">
      <c r="F512" s="129"/>
    </row>
    <row r="513" ht="15.75" customHeight="1">
      <c r="F513" s="129"/>
    </row>
    <row r="514" ht="15.75" customHeight="1">
      <c r="F514" s="129"/>
    </row>
    <row r="515" ht="15.75" customHeight="1">
      <c r="F515" s="129"/>
    </row>
    <row r="516" ht="15.75" customHeight="1">
      <c r="F516" s="129"/>
    </row>
    <row r="517" ht="15.75" customHeight="1">
      <c r="F517" s="129"/>
    </row>
    <row r="518" ht="15.75" customHeight="1">
      <c r="F518" s="129"/>
    </row>
    <row r="519" ht="15.75" customHeight="1">
      <c r="F519" s="129"/>
    </row>
    <row r="520" ht="15.75" customHeight="1">
      <c r="F520" s="129"/>
    </row>
    <row r="521" ht="15.75" customHeight="1">
      <c r="F521" s="129"/>
    </row>
    <row r="522" ht="15.75" customHeight="1">
      <c r="F522" s="129"/>
    </row>
    <row r="523" ht="15.75" customHeight="1">
      <c r="F523" s="129"/>
    </row>
    <row r="524" ht="15.75" customHeight="1">
      <c r="F524" s="129"/>
    </row>
    <row r="525" ht="15.75" customHeight="1">
      <c r="F525" s="129"/>
    </row>
    <row r="526" ht="15.75" customHeight="1">
      <c r="F526" s="129"/>
    </row>
    <row r="527" ht="15.75" customHeight="1">
      <c r="F527" s="129"/>
    </row>
    <row r="528" ht="15.75" customHeight="1">
      <c r="F528" s="129"/>
    </row>
    <row r="529" ht="15.75" customHeight="1">
      <c r="F529" s="129"/>
    </row>
    <row r="530" ht="15.75" customHeight="1">
      <c r="F530" s="129"/>
    </row>
    <row r="531" ht="15.75" customHeight="1">
      <c r="F531" s="129"/>
    </row>
    <row r="532" ht="15.75" customHeight="1">
      <c r="F532" s="129"/>
    </row>
    <row r="533" ht="15.75" customHeight="1">
      <c r="F533" s="129"/>
    </row>
    <row r="534" ht="15.75" customHeight="1">
      <c r="F534" s="129"/>
    </row>
    <row r="535" ht="15.75" customHeight="1">
      <c r="F535" s="129"/>
    </row>
    <row r="536" ht="15.75" customHeight="1">
      <c r="F536" s="129"/>
    </row>
    <row r="537" ht="15.75" customHeight="1">
      <c r="F537" s="129"/>
    </row>
    <row r="538" ht="15.75" customHeight="1">
      <c r="F538" s="129"/>
    </row>
    <row r="539" ht="15.75" customHeight="1">
      <c r="F539" s="129"/>
    </row>
    <row r="540" ht="15.75" customHeight="1">
      <c r="F540" s="129"/>
    </row>
    <row r="541" ht="15.75" customHeight="1">
      <c r="F541" s="129"/>
    </row>
    <row r="542" ht="15.75" customHeight="1">
      <c r="F542" s="129"/>
    </row>
    <row r="543" ht="15.75" customHeight="1">
      <c r="F543" s="129"/>
    </row>
    <row r="544" ht="15.75" customHeight="1">
      <c r="F544" s="129"/>
    </row>
    <row r="545" ht="15.75" customHeight="1">
      <c r="F545" s="129"/>
    </row>
    <row r="546" ht="15.75" customHeight="1">
      <c r="F546" s="129"/>
    </row>
    <row r="547" ht="15.75" customHeight="1">
      <c r="F547" s="129"/>
    </row>
    <row r="548" ht="15.75" customHeight="1">
      <c r="F548" s="129"/>
    </row>
    <row r="549" ht="15.75" customHeight="1">
      <c r="F549" s="129"/>
    </row>
    <row r="550" ht="15.75" customHeight="1">
      <c r="F550" s="129"/>
    </row>
    <row r="551" ht="15.75" customHeight="1">
      <c r="F551" s="129"/>
    </row>
    <row r="552" ht="15.75" customHeight="1">
      <c r="F552" s="129"/>
    </row>
    <row r="553" ht="15.75" customHeight="1">
      <c r="F553" s="129"/>
    </row>
    <row r="554" ht="15.75" customHeight="1">
      <c r="F554" s="129"/>
    </row>
    <row r="555" ht="15.75" customHeight="1">
      <c r="F555" s="129"/>
    </row>
    <row r="556" ht="15.75" customHeight="1">
      <c r="F556" s="129"/>
    </row>
    <row r="557" ht="15.75" customHeight="1">
      <c r="F557" s="129"/>
    </row>
    <row r="558" ht="15.75" customHeight="1">
      <c r="F558" s="129"/>
    </row>
    <row r="559" ht="15.75" customHeight="1">
      <c r="F559" s="129"/>
    </row>
    <row r="560" ht="15.75" customHeight="1">
      <c r="F560" s="129"/>
    </row>
    <row r="561" ht="15.75" customHeight="1">
      <c r="F561" s="129"/>
    </row>
    <row r="562" ht="15.75" customHeight="1">
      <c r="F562" s="129"/>
    </row>
    <row r="563" ht="15.75" customHeight="1">
      <c r="F563" s="129"/>
    </row>
    <row r="564" ht="15.75" customHeight="1">
      <c r="F564" s="129"/>
    </row>
    <row r="565" ht="15.75" customHeight="1">
      <c r="F565" s="129"/>
    </row>
    <row r="566" ht="15.75" customHeight="1">
      <c r="F566" s="129"/>
    </row>
    <row r="567" ht="15.75" customHeight="1">
      <c r="F567" s="129"/>
    </row>
    <row r="568" ht="15.75" customHeight="1">
      <c r="F568" s="129"/>
    </row>
    <row r="569" ht="15.75" customHeight="1">
      <c r="F569" s="129"/>
    </row>
    <row r="570" ht="15.75" customHeight="1">
      <c r="F570" s="129"/>
    </row>
    <row r="571" ht="15.75" customHeight="1">
      <c r="F571" s="129"/>
    </row>
    <row r="572" ht="15.75" customHeight="1">
      <c r="F572" s="129"/>
    </row>
    <row r="573" ht="15.75" customHeight="1">
      <c r="F573" s="129"/>
    </row>
    <row r="574" ht="15.75" customHeight="1">
      <c r="F574" s="129"/>
    </row>
    <row r="575" ht="15.75" customHeight="1">
      <c r="F575" s="129"/>
    </row>
    <row r="576" ht="15.75" customHeight="1">
      <c r="F576" s="129"/>
    </row>
    <row r="577" ht="15.75" customHeight="1">
      <c r="F577" s="129"/>
    </row>
    <row r="578" ht="15.75" customHeight="1">
      <c r="F578" s="129"/>
    </row>
    <row r="579" ht="15.75" customHeight="1">
      <c r="F579" s="129"/>
    </row>
    <row r="580" ht="15.75" customHeight="1">
      <c r="F580" s="129"/>
    </row>
    <row r="581" ht="15.75" customHeight="1">
      <c r="F581" s="129"/>
    </row>
    <row r="582" ht="15.75" customHeight="1">
      <c r="F582" s="129"/>
    </row>
    <row r="583" ht="15.75" customHeight="1">
      <c r="F583" s="129"/>
    </row>
    <row r="584" ht="15.75" customHeight="1">
      <c r="F584" s="129"/>
    </row>
    <row r="585" ht="15.75" customHeight="1">
      <c r="F585" s="129"/>
    </row>
    <row r="586" ht="15.75" customHeight="1">
      <c r="F586" s="129"/>
    </row>
    <row r="587" ht="15.75" customHeight="1">
      <c r="F587" s="129"/>
    </row>
    <row r="588" ht="15.75" customHeight="1">
      <c r="F588" s="129"/>
    </row>
    <row r="589" ht="15.75" customHeight="1">
      <c r="F589" s="129"/>
    </row>
    <row r="590" ht="15.75" customHeight="1">
      <c r="F590" s="129"/>
    </row>
    <row r="591" ht="15.75" customHeight="1">
      <c r="F591" s="129"/>
    </row>
    <row r="592" ht="15.75" customHeight="1">
      <c r="F592" s="129"/>
    </row>
    <row r="593" ht="15.75" customHeight="1">
      <c r="F593" s="129"/>
    </row>
    <row r="594" ht="15.75" customHeight="1">
      <c r="F594" s="129"/>
    </row>
    <row r="595" ht="15.75" customHeight="1">
      <c r="F595" s="129"/>
    </row>
    <row r="596" ht="15.75" customHeight="1">
      <c r="F596" s="129"/>
    </row>
    <row r="597" ht="15.75" customHeight="1">
      <c r="F597" s="129"/>
    </row>
    <row r="598" ht="15.75" customHeight="1">
      <c r="F598" s="129"/>
    </row>
    <row r="599" ht="15.75" customHeight="1">
      <c r="F599" s="129"/>
    </row>
    <row r="600" ht="15.75" customHeight="1">
      <c r="F600" s="129"/>
    </row>
    <row r="601" ht="15.75" customHeight="1">
      <c r="F601" s="129"/>
    </row>
    <row r="602" ht="15.75" customHeight="1">
      <c r="F602" s="129"/>
    </row>
    <row r="603" ht="15.75" customHeight="1">
      <c r="F603" s="129"/>
    </row>
    <row r="604" ht="15.75" customHeight="1">
      <c r="F604" s="129"/>
    </row>
    <row r="605" ht="15.75" customHeight="1">
      <c r="F605" s="129"/>
    </row>
    <row r="606" ht="15.75" customHeight="1">
      <c r="F606" s="129"/>
    </row>
    <row r="607" ht="15.75" customHeight="1">
      <c r="F607" s="129"/>
    </row>
    <row r="608" ht="15.75" customHeight="1">
      <c r="F608" s="129"/>
    </row>
    <row r="609" ht="15.75" customHeight="1">
      <c r="F609" s="129"/>
    </row>
    <row r="610" ht="15.75" customHeight="1">
      <c r="F610" s="129"/>
    </row>
    <row r="611" ht="15.75" customHeight="1">
      <c r="F611" s="129"/>
    </row>
    <row r="612" ht="15.75" customHeight="1">
      <c r="F612" s="129"/>
    </row>
    <row r="613" ht="15.75" customHeight="1">
      <c r="F613" s="129"/>
    </row>
    <row r="614" ht="15.75" customHeight="1">
      <c r="F614" s="129"/>
    </row>
    <row r="615" ht="15.75" customHeight="1">
      <c r="F615" s="129"/>
    </row>
    <row r="616" ht="15.75" customHeight="1">
      <c r="F616" s="129"/>
    </row>
    <row r="617" ht="15.75" customHeight="1">
      <c r="F617" s="129"/>
    </row>
    <row r="618" ht="15.75" customHeight="1">
      <c r="F618" s="129"/>
    </row>
    <row r="619" ht="15.75" customHeight="1">
      <c r="F619" s="129"/>
    </row>
    <row r="620" ht="15.75" customHeight="1">
      <c r="F620" s="129"/>
    </row>
    <row r="621" ht="15.75" customHeight="1">
      <c r="F621" s="129"/>
    </row>
    <row r="622" ht="15.75" customHeight="1">
      <c r="F622" s="129"/>
    </row>
    <row r="623" ht="15.75" customHeight="1">
      <c r="F623" s="129"/>
    </row>
    <row r="624" ht="15.75" customHeight="1">
      <c r="F624" s="129"/>
    </row>
    <row r="625" ht="15.75" customHeight="1">
      <c r="F625" s="129"/>
    </row>
    <row r="626" ht="15.75" customHeight="1">
      <c r="F626" s="129"/>
    </row>
    <row r="627" ht="15.75" customHeight="1">
      <c r="F627" s="129"/>
    </row>
    <row r="628" ht="15.75" customHeight="1">
      <c r="F628" s="129"/>
    </row>
    <row r="629" ht="15.75" customHeight="1">
      <c r="F629" s="129"/>
    </row>
    <row r="630" ht="15.75" customHeight="1">
      <c r="F630" s="129"/>
    </row>
    <row r="631" ht="15.75" customHeight="1">
      <c r="F631" s="129"/>
    </row>
    <row r="632" ht="15.75" customHeight="1">
      <c r="F632" s="129"/>
    </row>
    <row r="633" ht="15.75" customHeight="1">
      <c r="F633" s="129"/>
    </row>
    <row r="634" ht="15.75" customHeight="1">
      <c r="F634" s="129"/>
    </row>
    <row r="635" ht="15.75" customHeight="1">
      <c r="F635" s="129"/>
    </row>
    <row r="636" ht="15.75" customHeight="1">
      <c r="F636" s="129"/>
    </row>
    <row r="637" ht="15.75" customHeight="1">
      <c r="F637" s="129"/>
    </row>
    <row r="638" ht="15.75" customHeight="1">
      <c r="F638" s="129"/>
    </row>
    <row r="639" ht="15.75" customHeight="1">
      <c r="F639" s="129"/>
    </row>
    <row r="640" ht="15.75" customHeight="1">
      <c r="F640" s="129"/>
    </row>
    <row r="641" ht="15.75" customHeight="1">
      <c r="F641" s="129"/>
    </row>
    <row r="642" ht="15.75" customHeight="1">
      <c r="F642" s="129"/>
    </row>
    <row r="643" ht="15.75" customHeight="1">
      <c r="F643" s="129"/>
    </row>
    <row r="644" ht="15.75" customHeight="1">
      <c r="F644" s="129"/>
    </row>
    <row r="645" ht="15.75" customHeight="1">
      <c r="F645" s="129"/>
    </row>
    <row r="646" ht="15.75" customHeight="1">
      <c r="F646" s="129"/>
    </row>
    <row r="647" ht="15.75" customHeight="1">
      <c r="F647" s="129"/>
    </row>
    <row r="648" ht="15.75" customHeight="1">
      <c r="F648" s="129"/>
    </row>
    <row r="649" ht="15.75" customHeight="1">
      <c r="F649" s="129"/>
    </row>
    <row r="650" ht="15.75" customHeight="1">
      <c r="F650" s="129"/>
    </row>
    <row r="651" ht="15.75" customHeight="1">
      <c r="F651" s="129"/>
    </row>
    <row r="652" ht="15.75" customHeight="1">
      <c r="F652" s="129"/>
    </row>
    <row r="653" ht="15.75" customHeight="1">
      <c r="F653" s="129"/>
    </row>
    <row r="654" ht="15.75" customHeight="1">
      <c r="F654" s="129"/>
    </row>
    <row r="655" ht="15.75" customHeight="1">
      <c r="F655" s="129"/>
    </row>
    <row r="656" ht="15.75" customHeight="1">
      <c r="F656" s="129"/>
    </row>
    <row r="657" ht="15.75" customHeight="1">
      <c r="F657" s="129"/>
    </row>
    <row r="658" ht="15.75" customHeight="1">
      <c r="F658" s="129"/>
    </row>
    <row r="659" ht="15.75" customHeight="1">
      <c r="F659" s="129"/>
    </row>
    <row r="660" ht="15.75" customHeight="1">
      <c r="F660" s="129"/>
    </row>
    <row r="661" ht="15.75" customHeight="1">
      <c r="F661" s="129"/>
    </row>
    <row r="662" ht="15.75" customHeight="1">
      <c r="F662" s="129"/>
    </row>
    <row r="663" ht="15.75" customHeight="1">
      <c r="F663" s="129"/>
    </row>
    <row r="664" ht="15.75" customHeight="1">
      <c r="F664" s="129"/>
    </row>
    <row r="665" ht="15.75" customHeight="1">
      <c r="F665" s="129"/>
    </row>
    <row r="666" ht="15.75" customHeight="1">
      <c r="F666" s="129"/>
    </row>
    <row r="667" ht="15.75" customHeight="1">
      <c r="F667" s="129"/>
    </row>
    <row r="668" ht="15.75" customHeight="1">
      <c r="F668" s="129"/>
    </row>
    <row r="669" ht="15.75" customHeight="1">
      <c r="F669" s="129"/>
    </row>
    <row r="670" ht="15.75" customHeight="1">
      <c r="F670" s="129"/>
    </row>
    <row r="671" ht="15.75" customHeight="1">
      <c r="F671" s="129"/>
    </row>
    <row r="672" ht="15.75" customHeight="1">
      <c r="F672" s="129"/>
    </row>
    <row r="673" ht="15.75" customHeight="1">
      <c r="F673" s="129"/>
    </row>
    <row r="674" ht="15.75" customHeight="1">
      <c r="F674" s="129"/>
    </row>
    <row r="675" ht="15.75" customHeight="1">
      <c r="F675" s="129"/>
    </row>
    <row r="676" ht="15.75" customHeight="1">
      <c r="F676" s="129"/>
    </row>
    <row r="677" ht="15.75" customHeight="1">
      <c r="F677" s="129"/>
    </row>
    <row r="678" ht="15.75" customHeight="1">
      <c r="F678" s="129"/>
    </row>
    <row r="679" ht="15.75" customHeight="1">
      <c r="F679" s="129"/>
    </row>
    <row r="680" ht="15.75" customHeight="1">
      <c r="F680" s="129"/>
    </row>
    <row r="681" ht="15.75" customHeight="1">
      <c r="F681" s="129"/>
    </row>
    <row r="682" ht="15.75" customHeight="1">
      <c r="F682" s="129"/>
    </row>
    <row r="683" ht="15.75" customHeight="1">
      <c r="F683" s="129"/>
    </row>
    <row r="684" ht="15.75" customHeight="1">
      <c r="F684" s="129"/>
    </row>
    <row r="685" ht="15.75" customHeight="1">
      <c r="F685" s="129"/>
    </row>
    <row r="686" ht="15.75" customHeight="1">
      <c r="F686" s="129"/>
    </row>
    <row r="687" ht="15.75" customHeight="1">
      <c r="F687" s="129"/>
    </row>
    <row r="688" ht="15.75" customHeight="1">
      <c r="F688" s="129"/>
    </row>
    <row r="689" ht="15.75" customHeight="1">
      <c r="F689" s="129"/>
    </row>
    <row r="690" ht="15.75" customHeight="1">
      <c r="F690" s="129"/>
    </row>
    <row r="691" ht="15.75" customHeight="1">
      <c r="F691" s="129"/>
    </row>
    <row r="692" ht="15.75" customHeight="1">
      <c r="F692" s="129"/>
    </row>
    <row r="693" ht="15.75" customHeight="1">
      <c r="F693" s="129"/>
    </row>
    <row r="694" ht="15.75" customHeight="1">
      <c r="F694" s="129"/>
    </row>
    <row r="695" ht="15.75" customHeight="1">
      <c r="F695" s="129"/>
    </row>
    <row r="696" ht="15.75" customHeight="1">
      <c r="F696" s="129"/>
    </row>
    <row r="697" ht="15.75" customHeight="1">
      <c r="F697" s="129"/>
    </row>
    <row r="698" ht="15.75" customHeight="1">
      <c r="F698" s="129"/>
    </row>
    <row r="699" ht="15.75" customHeight="1">
      <c r="F699" s="129"/>
    </row>
    <row r="700" ht="15.75" customHeight="1">
      <c r="F700" s="129"/>
    </row>
    <row r="701" ht="15.75" customHeight="1">
      <c r="F701" s="129"/>
    </row>
    <row r="702" ht="15.75" customHeight="1">
      <c r="F702" s="129"/>
    </row>
    <row r="703" ht="15.75" customHeight="1">
      <c r="F703" s="129"/>
    </row>
    <row r="704" ht="15.75" customHeight="1">
      <c r="F704" s="129"/>
    </row>
    <row r="705" ht="15.75" customHeight="1">
      <c r="F705" s="129"/>
    </row>
    <row r="706" ht="15.75" customHeight="1">
      <c r="F706" s="129"/>
    </row>
    <row r="707" ht="15.75" customHeight="1">
      <c r="F707" s="129"/>
    </row>
    <row r="708" ht="15.75" customHeight="1">
      <c r="F708" s="129"/>
    </row>
    <row r="709" ht="15.75" customHeight="1">
      <c r="F709" s="129"/>
    </row>
    <row r="710" ht="15.75" customHeight="1">
      <c r="F710" s="129"/>
    </row>
    <row r="711" ht="15.75" customHeight="1">
      <c r="F711" s="129"/>
    </row>
    <row r="712" ht="15.75" customHeight="1">
      <c r="F712" s="129"/>
    </row>
    <row r="713" ht="15.75" customHeight="1">
      <c r="F713" s="129"/>
    </row>
    <row r="714" ht="15.75" customHeight="1">
      <c r="F714" s="129"/>
    </row>
    <row r="715" ht="15.75" customHeight="1">
      <c r="F715" s="129"/>
    </row>
    <row r="716" ht="15.75" customHeight="1">
      <c r="F716" s="129"/>
    </row>
    <row r="717" ht="15.75" customHeight="1">
      <c r="F717" s="129"/>
    </row>
    <row r="718" ht="15.75" customHeight="1">
      <c r="F718" s="129"/>
    </row>
    <row r="719" ht="15.75" customHeight="1">
      <c r="F719" s="129"/>
    </row>
    <row r="720" ht="15.75" customHeight="1">
      <c r="F720" s="129"/>
    </row>
    <row r="721" ht="15.75" customHeight="1">
      <c r="F721" s="129"/>
    </row>
    <row r="722" ht="15.75" customHeight="1">
      <c r="F722" s="129"/>
    </row>
    <row r="723" ht="15.75" customHeight="1">
      <c r="F723" s="129"/>
    </row>
    <row r="724" ht="15.75" customHeight="1">
      <c r="F724" s="129"/>
    </row>
    <row r="725" ht="15.75" customHeight="1">
      <c r="F725" s="129"/>
    </row>
    <row r="726" ht="15.75" customHeight="1">
      <c r="F726" s="129"/>
    </row>
    <row r="727" ht="15.75" customHeight="1">
      <c r="F727" s="129"/>
    </row>
    <row r="728" ht="15.75" customHeight="1">
      <c r="F728" s="129"/>
    </row>
    <row r="729" ht="15.75" customHeight="1">
      <c r="F729" s="129"/>
    </row>
    <row r="730" ht="15.75" customHeight="1">
      <c r="F730" s="129"/>
    </row>
    <row r="731" ht="15.75" customHeight="1">
      <c r="F731" s="129"/>
    </row>
    <row r="732" ht="15.75" customHeight="1">
      <c r="F732" s="129"/>
    </row>
    <row r="733" ht="15.75" customHeight="1">
      <c r="F733" s="129"/>
    </row>
    <row r="734" ht="15.75" customHeight="1">
      <c r="F734" s="129"/>
    </row>
    <row r="735" ht="15.75" customHeight="1">
      <c r="F735" s="129"/>
    </row>
    <row r="736" ht="15.75" customHeight="1">
      <c r="F736" s="129"/>
    </row>
    <row r="737" ht="15.75" customHeight="1">
      <c r="F737" s="129"/>
    </row>
    <row r="738" ht="15.75" customHeight="1">
      <c r="F738" s="129"/>
    </row>
    <row r="739" ht="15.75" customHeight="1">
      <c r="F739" s="129"/>
    </row>
    <row r="740" ht="15.75" customHeight="1">
      <c r="F740" s="129"/>
    </row>
    <row r="741" ht="15.75" customHeight="1">
      <c r="F741" s="129"/>
    </row>
    <row r="742" ht="15.75" customHeight="1">
      <c r="F742" s="129"/>
    </row>
    <row r="743" ht="15.75" customHeight="1">
      <c r="F743" s="129"/>
    </row>
    <row r="744" ht="15.75" customHeight="1">
      <c r="F744" s="129"/>
    </row>
    <row r="745" ht="15.75" customHeight="1">
      <c r="F745" s="129"/>
    </row>
    <row r="746" ht="15.75" customHeight="1">
      <c r="F746" s="129"/>
    </row>
    <row r="747" ht="15.75" customHeight="1">
      <c r="F747" s="129"/>
    </row>
    <row r="748" ht="15.75" customHeight="1">
      <c r="F748" s="129"/>
    </row>
    <row r="749" ht="15.75" customHeight="1">
      <c r="F749" s="129"/>
    </row>
    <row r="750" ht="15.75" customHeight="1">
      <c r="F750" s="129"/>
    </row>
    <row r="751" ht="15.75" customHeight="1">
      <c r="F751" s="129"/>
    </row>
    <row r="752" ht="15.75" customHeight="1">
      <c r="F752" s="129"/>
    </row>
    <row r="753" ht="15.75" customHeight="1">
      <c r="F753" s="129"/>
    </row>
    <row r="754" ht="15.75" customHeight="1">
      <c r="F754" s="129"/>
    </row>
    <row r="755" ht="15.75" customHeight="1">
      <c r="F755" s="129"/>
    </row>
    <row r="756" ht="15.75" customHeight="1">
      <c r="F756" s="129"/>
    </row>
    <row r="757" ht="15.75" customHeight="1">
      <c r="F757" s="129"/>
    </row>
    <row r="758" ht="15.75" customHeight="1">
      <c r="F758" s="129"/>
    </row>
    <row r="759" ht="15.75" customHeight="1">
      <c r="F759" s="129"/>
    </row>
    <row r="760" ht="15.75" customHeight="1">
      <c r="F760" s="129"/>
    </row>
    <row r="761" ht="15.75" customHeight="1">
      <c r="F761" s="129"/>
    </row>
    <row r="762" ht="15.75" customHeight="1">
      <c r="F762" s="129"/>
    </row>
    <row r="763" ht="15.75" customHeight="1">
      <c r="F763" s="129"/>
    </row>
    <row r="764" ht="15.75" customHeight="1">
      <c r="F764" s="129"/>
    </row>
    <row r="765" ht="15.75" customHeight="1">
      <c r="F765" s="129"/>
    </row>
    <row r="766" ht="15.75" customHeight="1">
      <c r="F766" s="129"/>
    </row>
    <row r="767" ht="15.75" customHeight="1">
      <c r="F767" s="129"/>
    </row>
    <row r="768" ht="15.75" customHeight="1">
      <c r="F768" s="129"/>
    </row>
    <row r="769" ht="15.75" customHeight="1">
      <c r="F769" s="129"/>
    </row>
    <row r="770" ht="15.75" customHeight="1">
      <c r="F770" s="129"/>
    </row>
    <row r="771" ht="15.75" customHeight="1">
      <c r="F771" s="129"/>
    </row>
    <row r="772" ht="15.75" customHeight="1">
      <c r="F772" s="129"/>
    </row>
    <row r="773" ht="15.75" customHeight="1">
      <c r="F773" s="129"/>
    </row>
    <row r="774" ht="15.75" customHeight="1">
      <c r="F774" s="129"/>
    </row>
    <row r="775" ht="15.75" customHeight="1">
      <c r="F775" s="129"/>
    </row>
    <row r="776" ht="15.75" customHeight="1">
      <c r="F776" s="129"/>
    </row>
    <row r="777" ht="15.75" customHeight="1">
      <c r="F777" s="129"/>
    </row>
    <row r="778" ht="15.75" customHeight="1">
      <c r="F778" s="129"/>
    </row>
    <row r="779" ht="15.75" customHeight="1">
      <c r="F779" s="129"/>
    </row>
    <row r="780" ht="15.75" customHeight="1">
      <c r="F780" s="129"/>
    </row>
    <row r="781" ht="15.75" customHeight="1">
      <c r="F781" s="129"/>
    </row>
    <row r="782" ht="15.75" customHeight="1">
      <c r="F782" s="129"/>
    </row>
    <row r="783" ht="15.75" customHeight="1">
      <c r="F783" s="129"/>
    </row>
    <row r="784" ht="15.75" customHeight="1">
      <c r="F784" s="129"/>
    </row>
    <row r="785" ht="15.75" customHeight="1">
      <c r="F785" s="129"/>
    </row>
    <row r="786" ht="15.75" customHeight="1">
      <c r="F786" s="129"/>
    </row>
    <row r="787" ht="15.75" customHeight="1">
      <c r="F787" s="129"/>
    </row>
    <row r="788" ht="15.75" customHeight="1">
      <c r="F788" s="129"/>
    </row>
    <row r="789" ht="15.75" customHeight="1">
      <c r="F789" s="129"/>
    </row>
    <row r="790" ht="15.75" customHeight="1">
      <c r="F790" s="129"/>
    </row>
    <row r="791" ht="15.75" customHeight="1">
      <c r="F791" s="129"/>
    </row>
    <row r="792" ht="15.75" customHeight="1">
      <c r="F792" s="129"/>
    </row>
    <row r="793" ht="15.75" customHeight="1">
      <c r="F793" s="129"/>
    </row>
    <row r="794" ht="15.75" customHeight="1">
      <c r="F794" s="129"/>
    </row>
    <row r="795" ht="15.75" customHeight="1">
      <c r="F795" s="129"/>
    </row>
    <row r="796" ht="15.75" customHeight="1">
      <c r="F796" s="129"/>
    </row>
    <row r="797" ht="15.75" customHeight="1">
      <c r="F797" s="129"/>
    </row>
    <row r="798" ht="15.75" customHeight="1">
      <c r="F798" s="129"/>
    </row>
    <row r="799" ht="15.75" customHeight="1">
      <c r="F799" s="129"/>
    </row>
    <row r="800" ht="15.75" customHeight="1">
      <c r="F800" s="129"/>
    </row>
    <row r="801" ht="15.75" customHeight="1">
      <c r="F801" s="129"/>
    </row>
    <row r="802" ht="15.75" customHeight="1">
      <c r="F802" s="129"/>
    </row>
    <row r="803" ht="15.75" customHeight="1">
      <c r="F803" s="129"/>
    </row>
    <row r="804" ht="15.75" customHeight="1">
      <c r="F804" s="129"/>
    </row>
    <row r="805" ht="15.75" customHeight="1">
      <c r="F805" s="129"/>
    </row>
    <row r="806" ht="15.75" customHeight="1">
      <c r="F806" s="129"/>
    </row>
    <row r="807" ht="15.75" customHeight="1">
      <c r="F807" s="129"/>
    </row>
    <row r="808" ht="15.75" customHeight="1">
      <c r="F808" s="129"/>
    </row>
    <row r="809" ht="15.75" customHeight="1">
      <c r="F809" s="129"/>
    </row>
    <row r="810" ht="15.75" customHeight="1">
      <c r="F810" s="129"/>
    </row>
    <row r="811" ht="15.75" customHeight="1">
      <c r="F811" s="129"/>
    </row>
    <row r="812" ht="15.75" customHeight="1">
      <c r="F812" s="129"/>
    </row>
    <row r="813" ht="15.75" customHeight="1">
      <c r="F813" s="129"/>
    </row>
    <row r="814" ht="15.75" customHeight="1">
      <c r="F814" s="129"/>
    </row>
    <row r="815" ht="15.75" customHeight="1">
      <c r="F815" s="129"/>
    </row>
    <row r="816" ht="15.75" customHeight="1">
      <c r="F816" s="129"/>
    </row>
    <row r="817" ht="15.75" customHeight="1">
      <c r="F817" s="129"/>
    </row>
    <row r="818" ht="15.75" customHeight="1">
      <c r="F818" s="129"/>
    </row>
    <row r="819" ht="15.75" customHeight="1">
      <c r="F819" s="129"/>
    </row>
    <row r="820" ht="15.75" customHeight="1">
      <c r="F820" s="129"/>
    </row>
    <row r="821" ht="15.75" customHeight="1">
      <c r="F821" s="129"/>
    </row>
    <row r="822" ht="15.75" customHeight="1">
      <c r="F822" s="129"/>
    </row>
    <row r="823" ht="15.75" customHeight="1">
      <c r="F823" s="129"/>
    </row>
    <row r="824" ht="15.75" customHeight="1">
      <c r="F824" s="129"/>
    </row>
    <row r="825" ht="15.75" customHeight="1">
      <c r="F825" s="129"/>
    </row>
    <row r="826" ht="15.75" customHeight="1">
      <c r="F826" s="129"/>
    </row>
    <row r="827" ht="15.75" customHeight="1">
      <c r="F827" s="129"/>
    </row>
    <row r="828" ht="15.75" customHeight="1">
      <c r="F828" s="129"/>
    </row>
    <row r="829" ht="15.75" customHeight="1">
      <c r="F829" s="129"/>
    </row>
    <row r="830" ht="15.75" customHeight="1">
      <c r="F830" s="129"/>
    </row>
    <row r="831" ht="15.75" customHeight="1">
      <c r="F831" s="129"/>
    </row>
    <row r="832" ht="15.75" customHeight="1">
      <c r="F832" s="129"/>
    </row>
    <row r="833" ht="15.75" customHeight="1">
      <c r="F833" s="129"/>
    </row>
    <row r="834" ht="15.75" customHeight="1">
      <c r="F834" s="129"/>
    </row>
    <row r="835" ht="15.75" customHeight="1">
      <c r="F835" s="129"/>
    </row>
    <row r="836" ht="15.75" customHeight="1">
      <c r="F836" s="129"/>
    </row>
    <row r="837" ht="15.75" customHeight="1">
      <c r="F837" s="129"/>
    </row>
    <row r="838" ht="15.75" customHeight="1">
      <c r="F838" s="129"/>
    </row>
    <row r="839" ht="15.75" customHeight="1">
      <c r="F839" s="129"/>
    </row>
    <row r="840" ht="15.75" customHeight="1">
      <c r="F840" s="129"/>
    </row>
    <row r="841" ht="15.75" customHeight="1">
      <c r="F841" s="129"/>
    </row>
    <row r="842" ht="15.75" customHeight="1">
      <c r="F842" s="129"/>
    </row>
    <row r="843" ht="15.75" customHeight="1">
      <c r="F843" s="129"/>
    </row>
    <row r="844" ht="15.75" customHeight="1">
      <c r="F844" s="129"/>
    </row>
    <row r="845" ht="15.75" customHeight="1">
      <c r="F845" s="129"/>
    </row>
    <row r="846" ht="15.75" customHeight="1">
      <c r="F846" s="129"/>
    </row>
    <row r="847" ht="15.75" customHeight="1">
      <c r="F847" s="129"/>
    </row>
    <row r="848" ht="15.75" customHeight="1">
      <c r="F848" s="129"/>
    </row>
    <row r="849" ht="15.75" customHeight="1">
      <c r="F849" s="129"/>
    </row>
    <row r="850" ht="15.75" customHeight="1">
      <c r="F850" s="129"/>
    </row>
    <row r="851" ht="15.75" customHeight="1">
      <c r="F851" s="129"/>
    </row>
    <row r="852" ht="15.75" customHeight="1">
      <c r="F852" s="129"/>
    </row>
    <row r="853" ht="15.75" customHeight="1">
      <c r="F853" s="129"/>
    </row>
    <row r="854" ht="15.75" customHeight="1">
      <c r="F854" s="129"/>
    </row>
    <row r="855" ht="15.75" customHeight="1">
      <c r="F855" s="129"/>
    </row>
    <row r="856" ht="15.75" customHeight="1">
      <c r="F856" s="129"/>
    </row>
    <row r="857" ht="15.75" customHeight="1">
      <c r="F857" s="129"/>
    </row>
    <row r="858" ht="15.75" customHeight="1">
      <c r="F858" s="129"/>
    </row>
    <row r="859" ht="15.75" customHeight="1">
      <c r="F859" s="129"/>
    </row>
    <row r="860" ht="15.75" customHeight="1">
      <c r="F860" s="129"/>
    </row>
    <row r="861" ht="15.75" customHeight="1">
      <c r="F861" s="129"/>
    </row>
    <row r="862" ht="15.75" customHeight="1">
      <c r="F862" s="129"/>
    </row>
    <row r="863" ht="15.75" customHeight="1">
      <c r="F863" s="129"/>
    </row>
    <row r="864" ht="15.75" customHeight="1">
      <c r="F864" s="129"/>
    </row>
    <row r="865" ht="15.75" customHeight="1">
      <c r="F865" s="129"/>
    </row>
    <row r="866" ht="15.75" customHeight="1">
      <c r="F866" s="129"/>
    </row>
    <row r="867" ht="15.75" customHeight="1">
      <c r="F867" s="129"/>
    </row>
    <row r="868" ht="15.75" customHeight="1">
      <c r="F868" s="129"/>
    </row>
    <row r="869" ht="15.75" customHeight="1">
      <c r="F869" s="129"/>
    </row>
    <row r="870" ht="15.75" customHeight="1">
      <c r="F870" s="129"/>
    </row>
    <row r="871" ht="15.75" customHeight="1">
      <c r="F871" s="129"/>
    </row>
    <row r="872" ht="15.75" customHeight="1">
      <c r="F872" s="129"/>
    </row>
    <row r="873" ht="15.75" customHeight="1">
      <c r="F873" s="129"/>
    </row>
    <row r="874" ht="15.75" customHeight="1">
      <c r="F874" s="129"/>
    </row>
    <row r="875" ht="15.75" customHeight="1">
      <c r="F875" s="129"/>
    </row>
    <row r="876" ht="15.75" customHeight="1">
      <c r="F876" s="129"/>
    </row>
    <row r="877" ht="15.75" customHeight="1">
      <c r="F877" s="129"/>
    </row>
    <row r="878" ht="15.75" customHeight="1">
      <c r="F878" s="129"/>
    </row>
    <row r="879" ht="15.75" customHeight="1">
      <c r="F879" s="129"/>
    </row>
    <row r="880" ht="15.75" customHeight="1">
      <c r="F880" s="129"/>
    </row>
    <row r="881" ht="15.75" customHeight="1">
      <c r="F881" s="129"/>
    </row>
    <row r="882" ht="15.75" customHeight="1">
      <c r="F882" s="129"/>
    </row>
    <row r="883" ht="15.75" customHeight="1">
      <c r="F883" s="129"/>
    </row>
    <row r="884" ht="15.75" customHeight="1">
      <c r="F884" s="129"/>
    </row>
    <row r="885" ht="15.75" customHeight="1">
      <c r="F885" s="129"/>
    </row>
    <row r="886" ht="15.75" customHeight="1">
      <c r="F886" s="129"/>
    </row>
    <row r="887" ht="15.75" customHeight="1">
      <c r="F887" s="129"/>
    </row>
    <row r="888" ht="15.75" customHeight="1">
      <c r="F888" s="129"/>
    </row>
    <row r="889" ht="15.75" customHeight="1">
      <c r="F889" s="129"/>
    </row>
    <row r="890" ht="15.75" customHeight="1">
      <c r="F890" s="129"/>
    </row>
    <row r="891" ht="15.75" customHeight="1">
      <c r="F891" s="129"/>
    </row>
    <row r="892" ht="15.75" customHeight="1">
      <c r="F892" s="129"/>
    </row>
    <row r="893" ht="15.75" customHeight="1">
      <c r="F893" s="129"/>
    </row>
    <row r="894" ht="15.75" customHeight="1">
      <c r="F894" s="129"/>
    </row>
    <row r="895" ht="15.75" customHeight="1">
      <c r="F895" s="129"/>
    </row>
    <row r="896" ht="15.75" customHeight="1">
      <c r="F896" s="129"/>
    </row>
    <row r="897" ht="15.75" customHeight="1">
      <c r="F897" s="129"/>
    </row>
    <row r="898" ht="15.75" customHeight="1">
      <c r="F898" s="129"/>
    </row>
    <row r="899" ht="15.75" customHeight="1">
      <c r="F899" s="129"/>
    </row>
    <row r="900" ht="15.75" customHeight="1">
      <c r="F900" s="129"/>
    </row>
    <row r="901" ht="15.75" customHeight="1">
      <c r="F901" s="129"/>
    </row>
    <row r="902" ht="15.75" customHeight="1">
      <c r="F902" s="129"/>
    </row>
    <row r="903" ht="15.75" customHeight="1">
      <c r="F903" s="129"/>
    </row>
    <row r="904" ht="15.75" customHeight="1">
      <c r="F904" s="129"/>
    </row>
    <row r="905" ht="15.75" customHeight="1">
      <c r="F905" s="129"/>
    </row>
    <row r="906" ht="15.75" customHeight="1">
      <c r="F906" s="129"/>
    </row>
    <row r="907" ht="15.75" customHeight="1">
      <c r="F907" s="129"/>
    </row>
    <row r="908" ht="15.75" customHeight="1">
      <c r="F908" s="129"/>
    </row>
    <row r="909" ht="15.75" customHeight="1">
      <c r="F909" s="129"/>
    </row>
    <row r="910" ht="15.75" customHeight="1">
      <c r="F910" s="129"/>
    </row>
    <row r="911" ht="15.75" customHeight="1">
      <c r="F911" s="129"/>
    </row>
    <row r="912" ht="15.75" customHeight="1">
      <c r="F912" s="129"/>
    </row>
    <row r="913" ht="15.75" customHeight="1">
      <c r="F913" s="129"/>
    </row>
    <row r="914" ht="15.75" customHeight="1">
      <c r="F914" s="129"/>
    </row>
    <row r="915" ht="15.75" customHeight="1">
      <c r="F915" s="129"/>
    </row>
    <row r="916" ht="15.75" customHeight="1">
      <c r="F916" s="129"/>
    </row>
    <row r="917" ht="15.75" customHeight="1">
      <c r="F917" s="129"/>
    </row>
    <row r="918" ht="15.75" customHeight="1">
      <c r="F918" s="129"/>
    </row>
    <row r="919" ht="15.75" customHeight="1">
      <c r="F919" s="129"/>
    </row>
    <row r="920" ht="15.75" customHeight="1">
      <c r="F920" s="129"/>
    </row>
    <row r="921" ht="15.75" customHeight="1">
      <c r="F921" s="129"/>
    </row>
    <row r="922" ht="15.75" customHeight="1">
      <c r="F922" s="129"/>
    </row>
    <row r="923" ht="15.75" customHeight="1">
      <c r="F923" s="129"/>
    </row>
    <row r="924" ht="15.75" customHeight="1">
      <c r="F924" s="129"/>
    </row>
    <row r="925" ht="15.75" customHeight="1">
      <c r="F925" s="129"/>
    </row>
    <row r="926" ht="15.75" customHeight="1">
      <c r="F926" s="129"/>
    </row>
    <row r="927" ht="15.75" customHeight="1">
      <c r="F927" s="129"/>
    </row>
    <row r="928" ht="15.75" customHeight="1">
      <c r="F928" s="129"/>
    </row>
    <row r="929" ht="15.75" customHeight="1">
      <c r="F929" s="129"/>
    </row>
    <row r="930" ht="15.75" customHeight="1">
      <c r="F930" s="129"/>
    </row>
    <row r="931" ht="15.75" customHeight="1">
      <c r="F931" s="129"/>
    </row>
    <row r="932" ht="15.75" customHeight="1">
      <c r="F932" s="129"/>
    </row>
    <row r="933" ht="15.75" customHeight="1">
      <c r="F933" s="129"/>
    </row>
    <row r="934" ht="15.75" customHeight="1">
      <c r="F934" s="129"/>
    </row>
    <row r="935" ht="15.75" customHeight="1">
      <c r="F935" s="129"/>
    </row>
    <row r="936" ht="15.75" customHeight="1">
      <c r="F936" s="129"/>
    </row>
    <row r="937" ht="15.75" customHeight="1">
      <c r="F937" s="129"/>
    </row>
    <row r="938" ht="15.75" customHeight="1">
      <c r="F938" s="129"/>
    </row>
    <row r="939" ht="15.75" customHeight="1">
      <c r="F939" s="129"/>
    </row>
    <row r="940" ht="15.75" customHeight="1">
      <c r="F940" s="129"/>
    </row>
    <row r="941" ht="15.75" customHeight="1">
      <c r="F941" s="129"/>
    </row>
    <row r="942" ht="15.75" customHeight="1">
      <c r="F942" s="129"/>
    </row>
    <row r="943" ht="15.75" customHeight="1">
      <c r="F943" s="129"/>
    </row>
    <row r="944" ht="15.75" customHeight="1">
      <c r="F944" s="129"/>
    </row>
    <row r="945" ht="15.75" customHeight="1">
      <c r="F945" s="129"/>
    </row>
    <row r="946" ht="15.75" customHeight="1">
      <c r="F946" s="129"/>
    </row>
    <row r="947" ht="15.75" customHeight="1">
      <c r="F947" s="129"/>
    </row>
    <row r="948" ht="15.75" customHeight="1">
      <c r="F948" s="129"/>
    </row>
    <row r="949" ht="15.75" customHeight="1">
      <c r="F949" s="129"/>
    </row>
    <row r="950" ht="15.75" customHeight="1">
      <c r="F950" s="129"/>
    </row>
    <row r="951" ht="15.75" customHeight="1">
      <c r="F951" s="129"/>
    </row>
    <row r="952" ht="15.75" customHeight="1">
      <c r="F952" s="129"/>
    </row>
    <row r="953" ht="15.75" customHeight="1">
      <c r="F953" s="129"/>
    </row>
    <row r="954" ht="15.75" customHeight="1">
      <c r="F954" s="129"/>
    </row>
    <row r="955" ht="15.75" customHeight="1">
      <c r="F955" s="129"/>
    </row>
    <row r="956" ht="15.75" customHeight="1">
      <c r="F956" s="129"/>
    </row>
    <row r="957" ht="15.75" customHeight="1">
      <c r="F957" s="129"/>
    </row>
    <row r="958" ht="15.75" customHeight="1">
      <c r="F958" s="129"/>
    </row>
    <row r="959" ht="15.75" customHeight="1">
      <c r="F959" s="129"/>
    </row>
    <row r="960" ht="15.75" customHeight="1">
      <c r="F960" s="129"/>
    </row>
    <row r="961" ht="15.75" customHeight="1">
      <c r="F961" s="129"/>
    </row>
    <row r="962" ht="15.75" customHeight="1">
      <c r="F962" s="129"/>
    </row>
    <row r="963" ht="15.75" customHeight="1">
      <c r="F963" s="129"/>
    </row>
    <row r="964" ht="15.75" customHeight="1">
      <c r="F964" s="129"/>
    </row>
    <row r="965" ht="15.75" customHeight="1">
      <c r="F965" s="129"/>
    </row>
    <row r="966" ht="15.75" customHeight="1">
      <c r="F966" s="129"/>
    </row>
    <row r="967" ht="15.75" customHeight="1">
      <c r="F967" s="129"/>
    </row>
    <row r="968" ht="15.75" customHeight="1">
      <c r="F968" s="129"/>
    </row>
    <row r="969" ht="15.75" customHeight="1">
      <c r="F969" s="129"/>
    </row>
    <row r="970" ht="15.75" customHeight="1">
      <c r="F970" s="129"/>
    </row>
    <row r="971" ht="15.75" customHeight="1">
      <c r="F971" s="129"/>
    </row>
    <row r="972" ht="15.75" customHeight="1">
      <c r="F972" s="129"/>
    </row>
    <row r="973" ht="15.75" customHeight="1">
      <c r="F973" s="129"/>
    </row>
    <row r="974" ht="15.75" customHeight="1">
      <c r="F974" s="129"/>
    </row>
    <row r="975" ht="15.75" customHeight="1">
      <c r="F975" s="129"/>
    </row>
    <row r="976" ht="15.75" customHeight="1">
      <c r="F976" s="129"/>
    </row>
    <row r="977" ht="15.75" customHeight="1">
      <c r="F977" s="129"/>
    </row>
    <row r="978" ht="15.75" customHeight="1">
      <c r="F978" s="129"/>
    </row>
    <row r="979" ht="15.75" customHeight="1">
      <c r="F979" s="129"/>
    </row>
    <row r="980" ht="15.75" customHeight="1">
      <c r="F980" s="129"/>
    </row>
    <row r="981" ht="15.75" customHeight="1">
      <c r="F981" s="129"/>
    </row>
    <row r="982" ht="15.75" customHeight="1">
      <c r="F982" s="129"/>
    </row>
    <row r="983" ht="15.75" customHeight="1">
      <c r="F983" s="129"/>
    </row>
    <row r="984" ht="15.75" customHeight="1">
      <c r="F984" s="129"/>
    </row>
    <row r="985" ht="15.75" customHeight="1">
      <c r="F985" s="129"/>
    </row>
    <row r="986" ht="15.75" customHeight="1">
      <c r="F986" s="129"/>
    </row>
    <row r="987" ht="15.75" customHeight="1">
      <c r="F987" s="129"/>
    </row>
    <row r="988" ht="15.75" customHeight="1">
      <c r="F988" s="129"/>
    </row>
    <row r="989" ht="15.75" customHeight="1">
      <c r="F989" s="129"/>
    </row>
    <row r="990" ht="15.75" customHeight="1">
      <c r="F990" s="129"/>
    </row>
    <row r="991" ht="15.75" customHeight="1">
      <c r="F991" s="129"/>
    </row>
    <row r="992" ht="15.75" customHeight="1">
      <c r="F992" s="129"/>
    </row>
    <row r="993" ht="15.75" customHeight="1">
      <c r="F993" s="129"/>
    </row>
    <row r="994" ht="15.75" customHeight="1">
      <c r="F994" s="129"/>
    </row>
    <row r="995" ht="15.75" customHeight="1">
      <c r="F995" s="129"/>
    </row>
    <row r="996" ht="15.75" customHeight="1">
      <c r="F996" s="129"/>
    </row>
    <row r="997" ht="15.75" customHeight="1">
      <c r="F997" s="129"/>
    </row>
    <row r="998" ht="15.75" customHeight="1">
      <c r="F998" s="129"/>
    </row>
    <row r="999" ht="15.75" customHeight="1">
      <c r="F999" s="129"/>
    </row>
    <row r="1000" ht="15.75" customHeight="1">
      <c r="F1000" s="129"/>
    </row>
    <row r="1001" ht="15.75" customHeight="1">
      <c r="F1001" s="129"/>
    </row>
    <row r="1002" ht="15.75" customHeight="1">
      <c r="F1002" s="129"/>
    </row>
    <row r="1003" ht="15.75" customHeight="1">
      <c r="F1003" s="129"/>
    </row>
    <row r="1004" ht="15.75" customHeight="1">
      <c r="F1004" s="129"/>
    </row>
    <row r="1005" ht="15.75" customHeight="1">
      <c r="F1005" s="129"/>
    </row>
    <row r="1006" ht="15.75" customHeight="1">
      <c r="F1006" s="129"/>
    </row>
    <row r="1007" ht="15.75" customHeight="1">
      <c r="F1007" s="129"/>
    </row>
    <row r="1008" ht="15.75" customHeight="1">
      <c r="F1008" s="129"/>
    </row>
    <row r="1009" ht="15.75" customHeight="1">
      <c r="F1009" s="129"/>
    </row>
    <row r="1010" ht="15.75" customHeight="1">
      <c r="F1010" s="129"/>
    </row>
    <row r="1011" ht="15.75" customHeight="1">
      <c r="F1011" s="129"/>
    </row>
    <row r="1012" ht="15.75" customHeight="1">
      <c r="F1012" s="129"/>
    </row>
    <row r="1013" ht="15.75" customHeight="1">
      <c r="F1013" s="129"/>
    </row>
    <row r="1014" ht="15.75" customHeight="1">
      <c r="F1014" s="129"/>
    </row>
    <row r="1015" ht="15.75" customHeight="1">
      <c r="F1015" s="129"/>
    </row>
    <row r="1016" ht="15.75" customHeight="1">
      <c r="F1016" s="129"/>
    </row>
    <row r="1017" ht="15.75" customHeight="1">
      <c r="F1017" s="129"/>
    </row>
    <row r="1018" ht="15.75" customHeight="1">
      <c r="F1018" s="129"/>
    </row>
    <row r="1019" ht="15.75" customHeight="1">
      <c r="F1019" s="129"/>
    </row>
    <row r="1020" ht="15.75" customHeight="1">
      <c r="F1020" s="129"/>
    </row>
    <row r="1021" ht="15.75" customHeight="1">
      <c r="F1021" s="129"/>
    </row>
    <row r="1022" ht="15.75" customHeight="1">
      <c r="F1022" s="129"/>
    </row>
    <row r="1023" ht="15.75" customHeight="1">
      <c r="F1023" s="129"/>
    </row>
    <row r="1024" ht="15.75" customHeight="1">
      <c r="F1024" s="129"/>
    </row>
    <row r="1025" ht="15.75" customHeight="1">
      <c r="F1025" s="129"/>
    </row>
    <row r="1026" ht="15.75" customHeight="1">
      <c r="F1026" s="129"/>
    </row>
    <row r="1027" ht="15.75" customHeight="1">
      <c r="F1027" s="129"/>
    </row>
    <row r="1028" ht="15.75" customHeight="1">
      <c r="F1028" s="129"/>
    </row>
    <row r="1029" ht="15.75" customHeight="1">
      <c r="F1029" s="129"/>
    </row>
    <row r="1030" ht="15.75" customHeight="1">
      <c r="F1030" s="129"/>
    </row>
    <row r="1031" ht="15.75" customHeight="1">
      <c r="F1031" s="129"/>
    </row>
    <row r="1032" ht="15.75" customHeight="1">
      <c r="F1032" s="129"/>
    </row>
    <row r="1033" ht="15.75" customHeight="1">
      <c r="F1033" s="129"/>
    </row>
    <row r="1034" ht="15.75" customHeight="1">
      <c r="F1034" s="129"/>
    </row>
    <row r="1035" ht="15.75" customHeight="1">
      <c r="F1035" s="129"/>
    </row>
    <row r="1036" ht="15.75" customHeight="1">
      <c r="F1036" s="129"/>
    </row>
    <row r="1037" ht="15.75" customHeight="1">
      <c r="F1037" s="129"/>
    </row>
    <row r="1038" ht="15.75" customHeight="1">
      <c r="F1038" s="129"/>
    </row>
    <row r="1039" ht="15.75" customHeight="1">
      <c r="F1039" s="129"/>
    </row>
    <row r="1040" ht="15.75" customHeight="1">
      <c r="F1040" s="129"/>
    </row>
    <row r="1041" ht="15.75" customHeight="1">
      <c r="F1041" s="129"/>
    </row>
    <row r="1042" ht="15.75" customHeight="1">
      <c r="F1042" s="129"/>
    </row>
    <row r="1043" ht="15.75" customHeight="1">
      <c r="F1043" s="129"/>
    </row>
    <row r="1044" ht="15.75" customHeight="1">
      <c r="F1044" s="129"/>
    </row>
    <row r="1045" ht="15.75" customHeight="1">
      <c r="F1045" s="129"/>
    </row>
    <row r="1046" ht="15.75" customHeight="1">
      <c r="F1046" s="129"/>
    </row>
    <row r="1047" ht="15.75" customHeight="1">
      <c r="F1047" s="129"/>
    </row>
    <row r="1048" ht="15.75" customHeight="1">
      <c r="F1048" s="129"/>
    </row>
    <row r="1049" ht="15.75" customHeight="1">
      <c r="F1049" s="129"/>
    </row>
    <row r="1050" ht="15.75" customHeight="1">
      <c r="F1050" s="129"/>
    </row>
    <row r="1051" ht="15.75" customHeight="1">
      <c r="F1051" s="129"/>
    </row>
    <row r="1052" ht="15.75" customHeight="1">
      <c r="F1052" s="129"/>
    </row>
    <row r="1053" ht="15.75" customHeight="1">
      <c r="F1053" s="129"/>
    </row>
    <row r="1054" ht="15.75" customHeight="1">
      <c r="F1054" s="129"/>
    </row>
    <row r="1055" ht="15.75" customHeight="1">
      <c r="F1055" s="129"/>
    </row>
    <row r="1056" ht="15.75" customHeight="1">
      <c r="F1056" s="129"/>
    </row>
    <row r="1057" ht="15.75" customHeight="1">
      <c r="F1057" s="129"/>
    </row>
    <row r="1058" ht="15.75" customHeight="1">
      <c r="F1058" s="129"/>
    </row>
    <row r="1059" ht="15.75" customHeight="1">
      <c r="F1059" s="129"/>
    </row>
    <row r="1060" ht="15.75" customHeight="1">
      <c r="F1060" s="129"/>
    </row>
    <row r="1061" ht="15.75" customHeight="1">
      <c r="F1061" s="129"/>
    </row>
    <row r="1062" ht="15.75" customHeight="1">
      <c r="F1062" s="129"/>
    </row>
    <row r="1063" ht="15.75" customHeight="1">
      <c r="F1063" s="129"/>
    </row>
    <row r="1064" ht="15.75" customHeight="1">
      <c r="F1064" s="129"/>
    </row>
    <row r="1065" ht="15.75" customHeight="1">
      <c r="F1065" s="129"/>
    </row>
    <row r="1066" ht="15.75" customHeight="1">
      <c r="F1066" s="129"/>
    </row>
    <row r="1067" ht="15.75" customHeight="1">
      <c r="F1067" s="129"/>
    </row>
  </sheetData>
  <mergeCells count="22">
    <mergeCell ref="A1:E1"/>
    <mergeCell ref="B2:C2"/>
    <mergeCell ref="D2:E2"/>
    <mergeCell ref="A8:E8"/>
    <mergeCell ref="B9:C9"/>
    <mergeCell ref="D9:E9"/>
    <mergeCell ref="A15:E15"/>
    <mergeCell ref="A43:C43"/>
    <mergeCell ref="A50:C50"/>
    <mergeCell ref="A57:E57"/>
    <mergeCell ref="B58:C58"/>
    <mergeCell ref="D58:E58"/>
    <mergeCell ref="A74:B74"/>
    <mergeCell ref="D74:E74"/>
    <mergeCell ref="A82:B82"/>
    <mergeCell ref="B16:C16"/>
    <mergeCell ref="D16:E16"/>
    <mergeCell ref="A22:E22"/>
    <mergeCell ref="B23:C23"/>
    <mergeCell ref="D23:E23"/>
    <mergeCell ref="A29:B29"/>
    <mergeCell ref="A36:E3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21.0" customHeight="1">
      <c r="A1" s="61" t="s">
        <v>507</v>
      </c>
      <c r="C1" s="65"/>
      <c r="D1" s="65"/>
      <c r="E1" s="65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3" t="s">
        <v>508</v>
      </c>
      <c r="B2" s="63" t="s">
        <v>509</v>
      </c>
      <c r="C2" s="89"/>
      <c r="D2" s="89"/>
      <c r="E2" s="8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6">
        <v>1.0</v>
      </c>
      <c r="B3" s="130">
        <v>5000.0</v>
      </c>
      <c r="C3" s="96"/>
      <c r="D3" s="96"/>
      <c r="E3" s="96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30" t="s">
        <v>510</v>
      </c>
      <c r="B4" s="96"/>
      <c r="C4" s="96"/>
      <c r="D4" s="96"/>
      <c r="E4" s="96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50"/>
      <c r="B5" s="151"/>
      <c r="C5" s="151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0"/>
      <c r="B6" s="151"/>
      <c r="C6" s="151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50"/>
      <c r="B7" s="151"/>
      <c r="C7" s="151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61" t="s">
        <v>511</v>
      </c>
      <c r="G8" s="4"/>
      <c r="H8" s="61" t="s">
        <v>512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" t="s">
        <v>513</v>
      </c>
      <c r="B9" s="64" t="s">
        <v>514</v>
      </c>
      <c r="C9" s="64" t="s">
        <v>515</v>
      </c>
      <c r="D9" s="64" t="s">
        <v>516</v>
      </c>
      <c r="E9" s="64" t="s">
        <v>517</v>
      </c>
      <c r="F9" s="64" t="s">
        <v>518</v>
      </c>
      <c r="G9" s="53"/>
      <c r="H9" s="1" t="s">
        <v>519</v>
      </c>
      <c r="I9" s="64" t="s">
        <v>473</v>
      </c>
      <c r="J9" s="64" t="s">
        <v>474</v>
      </c>
      <c r="K9" s="64" t="s">
        <v>520</v>
      </c>
      <c r="L9" s="64" t="s">
        <v>521</v>
      </c>
      <c r="M9" s="64" t="s">
        <v>522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4" t="s">
        <v>514</v>
      </c>
      <c r="B10" s="152"/>
      <c r="C10" s="153" t="s">
        <v>473</v>
      </c>
      <c r="D10" s="153" t="s">
        <v>473</v>
      </c>
      <c r="E10" s="154" t="s">
        <v>474</v>
      </c>
      <c r="F10" s="155" t="s">
        <v>520</v>
      </c>
      <c r="G10" s="53"/>
      <c r="H10" s="83">
        <v>200.0</v>
      </c>
      <c r="I10" s="156">
        <v>12200.0</v>
      </c>
      <c r="J10" s="157">
        <v>15000.0</v>
      </c>
      <c r="K10" s="158">
        <v>16400.0</v>
      </c>
      <c r="L10" s="159">
        <v>17800.0</v>
      </c>
      <c r="M10" s="160">
        <v>19200.0</v>
      </c>
      <c r="N10" s="16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4" t="s">
        <v>515</v>
      </c>
      <c r="B11" s="153" t="s">
        <v>473</v>
      </c>
      <c r="C11" s="153" t="s">
        <v>473</v>
      </c>
      <c r="D11" s="154" t="s">
        <v>474</v>
      </c>
      <c r="E11" s="155" t="s">
        <v>520</v>
      </c>
      <c r="F11" s="162" t="s">
        <v>521</v>
      </c>
      <c r="G11" s="53"/>
      <c r="H11" s="83">
        <v>300.0</v>
      </c>
      <c r="I11" s="163">
        <v>14300.0</v>
      </c>
      <c r="J11" s="164">
        <v>18500.0</v>
      </c>
      <c r="K11" s="165">
        <v>20600.0</v>
      </c>
      <c r="L11" s="166">
        <v>22700.0</v>
      </c>
      <c r="M11" s="167">
        <v>24800.0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4" t="s">
        <v>516</v>
      </c>
      <c r="B12" s="153" t="s">
        <v>473</v>
      </c>
      <c r="C12" s="154" t="s">
        <v>474</v>
      </c>
      <c r="D12" s="162" t="s">
        <v>521</v>
      </c>
      <c r="E12" s="168" t="s">
        <v>522</v>
      </c>
      <c r="F12" s="168" t="s">
        <v>523</v>
      </c>
      <c r="G12" s="53"/>
      <c r="H12" s="83">
        <v>400.0</v>
      </c>
      <c r="I12" s="163">
        <v>16400.0</v>
      </c>
      <c r="J12" s="164">
        <v>22000.0</v>
      </c>
      <c r="K12" s="165">
        <v>24800.0</v>
      </c>
      <c r="L12" s="166">
        <v>27600.0</v>
      </c>
      <c r="M12" s="167">
        <v>30400.0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3"/>
      <c r="B13" s="53"/>
      <c r="C13" s="53"/>
      <c r="D13" s="53"/>
      <c r="E13" s="53"/>
      <c r="F13" s="53"/>
      <c r="G13" s="53"/>
      <c r="H13" s="83">
        <v>500.0</v>
      </c>
      <c r="I13" s="163">
        <v>18500.0</v>
      </c>
      <c r="J13" s="164">
        <v>25500.0</v>
      </c>
      <c r="K13" s="165">
        <v>29000.0</v>
      </c>
      <c r="L13" s="166">
        <v>32500.0</v>
      </c>
      <c r="M13" s="167">
        <v>36000.0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3"/>
      <c r="B14" s="53"/>
      <c r="C14" s="53"/>
      <c r="D14" s="53"/>
      <c r="E14" s="169"/>
      <c r="F14" s="53"/>
      <c r="G14" s="53"/>
      <c r="H14" s="83">
        <v>600.0</v>
      </c>
      <c r="I14" s="163">
        <v>20600.0</v>
      </c>
      <c r="J14" s="164">
        <v>29000.0</v>
      </c>
      <c r="K14" s="165">
        <v>33200.0</v>
      </c>
      <c r="L14" s="166">
        <v>37400.0</v>
      </c>
      <c r="M14" s="167">
        <v>41600.0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3"/>
      <c r="B15" s="53"/>
      <c r="C15" s="53"/>
      <c r="D15" s="53"/>
      <c r="E15" s="53"/>
      <c r="F15" s="53"/>
      <c r="G15" s="53"/>
      <c r="H15" s="83">
        <v>700.0</v>
      </c>
      <c r="I15" s="163">
        <v>22700.0</v>
      </c>
      <c r="J15" s="164">
        <v>32500.0</v>
      </c>
      <c r="K15" s="165">
        <v>37400.0</v>
      </c>
      <c r="L15" s="166">
        <v>42300.0</v>
      </c>
      <c r="M15" s="167">
        <v>47200.0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3"/>
      <c r="B16" s="53"/>
      <c r="C16" s="53"/>
      <c r="D16" s="53"/>
      <c r="E16" s="53"/>
      <c r="F16" s="53"/>
      <c r="G16" s="53"/>
      <c r="H16" s="83">
        <v>800.0</v>
      </c>
      <c r="I16" s="163">
        <v>24800.0</v>
      </c>
      <c r="J16" s="164">
        <v>36000.0</v>
      </c>
      <c r="K16" s="165">
        <v>41600.0</v>
      </c>
      <c r="L16" s="166">
        <v>47200.0</v>
      </c>
      <c r="M16" s="167">
        <v>52800.0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3"/>
      <c r="B17" s="53"/>
      <c r="C17" s="53"/>
      <c r="D17" s="53"/>
      <c r="E17" s="53"/>
      <c r="F17" s="53"/>
      <c r="G17" s="53"/>
      <c r="H17" s="83">
        <v>900.0</v>
      </c>
      <c r="I17" s="163">
        <v>26900.0</v>
      </c>
      <c r="J17" s="164">
        <v>39500.0</v>
      </c>
      <c r="K17" s="165">
        <v>45800.0</v>
      </c>
      <c r="L17" s="166">
        <v>52100.0</v>
      </c>
      <c r="M17" s="167">
        <v>58400.0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3"/>
      <c r="B18" s="53"/>
      <c r="C18" s="53"/>
      <c r="D18" s="53"/>
      <c r="E18" s="53"/>
      <c r="F18" s="53"/>
      <c r="G18" s="53"/>
      <c r="H18" s="83">
        <v>1000.0</v>
      </c>
      <c r="I18" s="170">
        <v>29000.0</v>
      </c>
      <c r="J18" s="171">
        <v>43000.0</v>
      </c>
      <c r="K18" s="172">
        <v>50000.0</v>
      </c>
      <c r="L18" s="173">
        <v>57000.0</v>
      </c>
      <c r="M18" s="174">
        <v>64000.0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53"/>
      <c r="B19" s="53"/>
      <c r="C19" s="53"/>
      <c r="D19" s="53"/>
      <c r="E19" s="53"/>
      <c r="F19" s="53"/>
      <c r="G19" s="130"/>
      <c r="H19" s="99">
        <v>2000.0</v>
      </c>
      <c r="I19" s="156">
        <v>50000.0</v>
      </c>
      <c r="J19" s="157">
        <v>78000.0</v>
      </c>
      <c r="K19" s="158">
        <v>92000.0</v>
      </c>
      <c r="L19" s="159">
        <v>106000.0</v>
      </c>
      <c r="M19" s="160">
        <v>120000.0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75"/>
      <c r="B20" s="175"/>
      <c r="C20" s="175"/>
      <c r="D20" s="175"/>
      <c r="E20" s="175"/>
      <c r="F20" s="175"/>
      <c r="G20" s="130"/>
      <c r="H20" s="176">
        <v>3000.0</v>
      </c>
      <c r="I20" s="156">
        <v>71000.0</v>
      </c>
      <c r="J20" s="157">
        <v>113000.0</v>
      </c>
      <c r="K20" s="158">
        <v>134000.0</v>
      </c>
      <c r="L20" s="159">
        <v>155000.0</v>
      </c>
      <c r="M20" s="160">
        <v>176000.0</v>
      </c>
      <c r="N20" s="177"/>
      <c r="O20" s="177"/>
      <c r="P20" s="177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5"/>
      <c r="B21" s="175"/>
      <c r="C21" s="175"/>
      <c r="D21" s="175"/>
      <c r="E21" s="175"/>
      <c r="F21" s="175"/>
      <c r="G21" s="130"/>
      <c r="H21" s="176">
        <v>4000.0</v>
      </c>
      <c r="I21" s="156">
        <v>92000.0</v>
      </c>
      <c r="J21" s="157">
        <v>148000.0</v>
      </c>
      <c r="K21" s="158">
        <v>176000.0</v>
      </c>
      <c r="L21" s="159">
        <v>204000.0</v>
      </c>
      <c r="M21" s="160">
        <v>232000.0</v>
      </c>
      <c r="N21" s="177"/>
      <c r="O21" s="177"/>
      <c r="P21" s="177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5"/>
      <c r="B22" s="175"/>
      <c r="C22" s="175"/>
      <c r="D22" s="175"/>
      <c r="E22" s="175"/>
      <c r="F22" s="175"/>
      <c r="G22" s="130"/>
      <c r="H22" s="176">
        <v>5000.0</v>
      </c>
      <c r="I22" s="156">
        <v>113000.0</v>
      </c>
      <c r="J22" s="157">
        <v>183000.0</v>
      </c>
      <c r="K22" s="158">
        <v>218000.0</v>
      </c>
      <c r="L22" s="159">
        <v>253000.0</v>
      </c>
      <c r="M22" s="160">
        <v>288000.0</v>
      </c>
      <c r="N22" s="177"/>
      <c r="O22" s="177"/>
      <c r="P22" s="177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5"/>
      <c r="B23" s="175"/>
      <c r="C23" s="175"/>
      <c r="D23" s="175"/>
      <c r="E23" s="175"/>
      <c r="F23" s="175"/>
      <c r="G23" s="130"/>
      <c r="H23" s="176">
        <v>6000.0</v>
      </c>
      <c r="I23" s="156">
        <v>134000.0</v>
      </c>
      <c r="J23" s="157">
        <v>218000.0</v>
      </c>
      <c r="K23" s="158">
        <v>260000.0</v>
      </c>
      <c r="L23" s="159">
        <v>302000.0</v>
      </c>
      <c r="M23" s="160">
        <v>344000.0</v>
      </c>
      <c r="N23" s="177"/>
      <c r="O23" s="177"/>
      <c r="P23" s="177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5"/>
      <c r="B24" s="175"/>
      <c r="C24" s="175"/>
      <c r="D24" s="175"/>
      <c r="E24" s="175"/>
      <c r="F24" s="175"/>
      <c r="G24" s="130"/>
      <c r="H24" s="176">
        <v>7000.0</v>
      </c>
      <c r="I24" s="156">
        <v>155000.0</v>
      </c>
      <c r="J24" s="157">
        <v>253000.0</v>
      </c>
      <c r="K24" s="158">
        <v>302000.0</v>
      </c>
      <c r="L24" s="159">
        <v>351000.0</v>
      </c>
      <c r="M24" s="160">
        <v>400000.0</v>
      </c>
      <c r="N24" s="177"/>
      <c r="O24" s="177"/>
      <c r="P24" s="177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5"/>
      <c r="B25" s="175"/>
      <c r="C25" s="175"/>
      <c r="D25" s="175"/>
      <c r="E25" s="175"/>
      <c r="F25" s="175"/>
      <c r="G25" s="130"/>
      <c r="H25" s="176">
        <v>8000.0</v>
      </c>
      <c r="I25" s="156">
        <v>176000.0</v>
      </c>
      <c r="J25" s="157">
        <v>288000.0</v>
      </c>
      <c r="K25" s="158">
        <v>344000.0</v>
      </c>
      <c r="L25" s="159">
        <v>400000.0</v>
      </c>
      <c r="M25" s="160">
        <v>456000.0</v>
      </c>
      <c r="N25" s="177"/>
      <c r="O25" s="177"/>
      <c r="P25" s="177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5"/>
      <c r="B26" s="175"/>
      <c r="C26" s="175"/>
      <c r="D26" s="175"/>
      <c r="E26" s="175"/>
      <c r="F26" s="175"/>
      <c r="G26" s="130"/>
      <c r="H26" s="176">
        <v>9000.0</v>
      </c>
      <c r="I26" s="156">
        <v>197000.0</v>
      </c>
      <c r="J26" s="157">
        <v>323000.0</v>
      </c>
      <c r="K26" s="158">
        <v>386000.0</v>
      </c>
      <c r="L26" s="159">
        <v>449000.0</v>
      </c>
      <c r="M26" s="160">
        <v>512000.0</v>
      </c>
      <c r="N26" s="177"/>
      <c r="O26" s="177"/>
      <c r="P26" s="177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5"/>
      <c r="B27" s="175"/>
      <c r="C27" s="175"/>
      <c r="D27" s="175"/>
      <c r="E27" s="175"/>
      <c r="F27" s="175"/>
      <c r="G27" s="130"/>
      <c r="H27" s="176">
        <v>10000.0</v>
      </c>
      <c r="I27" s="156">
        <v>218000.0</v>
      </c>
      <c r="J27" s="157">
        <v>358000.0</v>
      </c>
      <c r="K27" s="158">
        <v>428000.0</v>
      </c>
      <c r="L27" s="159">
        <v>498000.0</v>
      </c>
      <c r="M27" s="160">
        <v>568000.0</v>
      </c>
      <c r="N27" s="177"/>
      <c r="O27" s="177"/>
      <c r="P27" s="177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5.5" customHeight="1">
      <c r="A31" s="61" t="s">
        <v>524</v>
      </c>
      <c r="G31" s="53"/>
      <c r="H31" s="61" t="s">
        <v>525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 t="s">
        <v>513</v>
      </c>
      <c r="B32" s="64" t="s">
        <v>514</v>
      </c>
      <c r="C32" s="64" t="s">
        <v>515</v>
      </c>
      <c r="D32" s="64" t="s">
        <v>516</v>
      </c>
      <c r="E32" s="64" t="s">
        <v>517</v>
      </c>
      <c r="F32" s="64" t="s">
        <v>518</v>
      </c>
      <c r="G32" s="53"/>
      <c r="H32" s="1" t="s">
        <v>519</v>
      </c>
      <c r="I32" s="64" t="s">
        <v>473</v>
      </c>
      <c r="J32" s="64" t="s">
        <v>474</v>
      </c>
      <c r="K32" s="64" t="s">
        <v>520</v>
      </c>
      <c r="L32" s="64" t="s">
        <v>521</v>
      </c>
      <c r="M32" s="64" t="s">
        <v>522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4" t="s">
        <v>514</v>
      </c>
      <c r="B33" s="152"/>
      <c r="C33" s="153" t="s">
        <v>473</v>
      </c>
      <c r="D33" s="153" t="s">
        <v>473</v>
      </c>
      <c r="E33" s="154" t="s">
        <v>474</v>
      </c>
      <c r="F33" s="155" t="s">
        <v>520</v>
      </c>
      <c r="G33" s="53"/>
      <c r="H33" s="83">
        <v>200.0</v>
      </c>
      <c r="I33" s="178">
        <v>14300.0</v>
      </c>
      <c r="J33" s="179">
        <v>18500.0</v>
      </c>
      <c r="K33" s="180">
        <v>20600.0</v>
      </c>
      <c r="L33" s="181">
        <v>22700.0</v>
      </c>
      <c r="M33" s="182">
        <v>24800.0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4" t="s">
        <v>515</v>
      </c>
      <c r="B34" s="153" t="s">
        <v>473</v>
      </c>
      <c r="C34" s="153" t="s">
        <v>473</v>
      </c>
      <c r="D34" s="154" t="s">
        <v>474</v>
      </c>
      <c r="E34" s="155" t="s">
        <v>520</v>
      </c>
      <c r="F34" s="162" t="s">
        <v>521</v>
      </c>
      <c r="G34" s="130"/>
      <c r="H34" s="83">
        <v>300.0</v>
      </c>
      <c r="I34" s="183">
        <v>17500.0</v>
      </c>
      <c r="J34" s="184">
        <v>23800.0</v>
      </c>
      <c r="K34" s="185">
        <v>26900.0</v>
      </c>
      <c r="L34" s="186">
        <v>30100.0</v>
      </c>
      <c r="M34" s="187">
        <v>33200.0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4" t="s">
        <v>516</v>
      </c>
      <c r="B35" s="153" t="s">
        <v>473</v>
      </c>
      <c r="C35" s="154" t="s">
        <v>474</v>
      </c>
      <c r="D35" s="162" t="s">
        <v>521</v>
      </c>
      <c r="E35" s="168" t="s">
        <v>522</v>
      </c>
      <c r="F35" s="168" t="s">
        <v>523</v>
      </c>
      <c r="G35" s="130"/>
      <c r="H35" s="83">
        <v>400.0</v>
      </c>
      <c r="I35" s="183">
        <v>20700.0</v>
      </c>
      <c r="J35" s="184">
        <v>29100.0</v>
      </c>
      <c r="K35" s="185">
        <v>33200.0</v>
      </c>
      <c r="L35" s="186">
        <v>37500.0</v>
      </c>
      <c r="M35" s="187">
        <v>41600.0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3"/>
      <c r="B36" s="53"/>
      <c r="C36" s="53"/>
      <c r="D36" s="53"/>
      <c r="E36" s="53"/>
      <c r="F36" s="53"/>
      <c r="G36" s="130"/>
      <c r="H36" s="83">
        <v>500.0</v>
      </c>
      <c r="I36" s="183">
        <v>23900.0</v>
      </c>
      <c r="J36" s="184">
        <v>34400.0</v>
      </c>
      <c r="K36" s="185">
        <v>39500.0</v>
      </c>
      <c r="L36" s="186">
        <v>44900.0</v>
      </c>
      <c r="M36" s="187">
        <v>50000.0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3"/>
      <c r="B37" s="53"/>
      <c r="C37" s="53"/>
      <c r="D37" s="53"/>
      <c r="E37" s="169"/>
      <c r="F37" s="53"/>
      <c r="G37" s="130"/>
      <c r="H37" s="83">
        <v>600.0</v>
      </c>
      <c r="I37" s="183">
        <v>27100.0</v>
      </c>
      <c r="J37" s="184">
        <v>39700.0</v>
      </c>
      <c r="K37" s="185">
        <v>45800.0</v>
      </c>
      <c r="L37" s="186">
        <v>52300.0</v>
      </c>
      <c r="M37" s="187">
        <v>58400.0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3"/>
      <c r="B38" s="53"/>
      <c r="C38" s="53"/>
      <c r="D38" s="53"/>
      <c r="E38" s="53"/>
      <c r="F38" s="53"/>
      <c r="G38" s="130"/>
      <c r="H38" s="83">
        <v>700.0</v>
      </c>
      <c r="I38" s="183">
        <v>30300.0</v>
      </c>
      <c r="J38" s="184">
        <v>45000.0</v>
      </c>
      <c r="K38" s="185">
        <v>52100.0</v>
      </c>
      <c r="L38" s="186">
        <v>59700.0</v>
      </c>
      <c r="M38" s="187">
        <v>66800.0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3"/>
      <c r="B39" s="53"/>
      <c r="C39" s="53"/>
      <c r="D39" s="53"/>
      <c r="E39" s="53"/>
      <c r="F39" s="53"/>
      <c r="G39" s="130"/>
      <c r="H39" s="83">
        <v>800.0</v>
      </c>
      <c r="I39" s="183">
        <v>33500.0</v>
      </c>
      <c r="J39" s="184">
        <v>50300.0</v>
      </c>
      <c r="K39" s="185">
        <v>58400.0</v>
      </c>
      <c r="L39" s="186">
        <v>67100.0</v>
      </c>
      <c r="M39" s="187">
        <v>75200.0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3"/>
      <c r="B40" s="53"/>
      <c r="C40" s="53"/>
      <c r="D40" s="53"/>
      <c r="E40" s="53"/>
      <c r="F40" s="53"/>
      <c r="G40" s="130"/>
      <c r="H40" s="83">
        <v>900.0</v>
      </c>
      <c r="I40" s="183">
        <v>36700.0</v>
      </c>
      <c r="J40" s="184">
        <v>55600.0</v>
      </c>
      <c r="K40" s="185">
        <v>64700.0</v>
      </c>
      <c r="L40" s="186">
        <v>74500.0</v>
      </c>
      <c r="M40" s="187">
        <v>83600.0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/>
      <c r="B41" s="53"/>
      <c r="C41" s="53"/>
      <c r="D41" s="53"/>
      <c r="E41" s="53"/>
      <c r="F41" s="53"/>
      <c r="G41" s="130"/>
      <c r="H41" s="83">
        <v>1000.0</v>
      </c>
      <c r="I41" s="183">
        <v>39900.0</v>
      </c>
      <c r="J41" s="184">
        <v>60900.0</v>
      </c>
      <c r="K41" s="185">
        <v>71000.0</v>
      </c>
      <c r="L41" s="186">
        <v>81900.0</v>
      </c>
      <c r="M41" s="187">
        <v>92000.0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3"/>
      <c r="B42" s="53"/>
      <c r="C42" s="53"/>
      <c r="D42" s="53"/>
      <c r="E42" s="53"/>
      <c r="F42" s="53"/>
      <c r="G42" s="130"/>
      <c r="H42" s="99">
        <v>2000.0</v>
      </c>
      <c r="I42" s="156">
        <v>71900.0</v>
      </c>
      <c r="J42" s="157">
        <v>113900.0</v>
      </c>
      <c r="K42" s="185">
        <v>134000.0</v>
      </c>
      <c r="L42" s="186">
        <v>155900.0</v>
      </c>
      <c r="M42" s="187">
        <v>176000.0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5"/>
      <c r="B43" s="175"/>
      <c r="C43" s="175"/>
      <c r="D43" s="175"/>
      <c r="E43" s="175"/>
      <c r="F43" s="175"/>
      <c r="G43" s="130"/>
      <c r="H43" s="176">
        <v>3000.0</v>
      </c>
      <c r="I43" s="156">
        <v>103900.0</v>
      </c>
      <c r="J43" s="157">
        <v>166900.0</v>
      </c>
      <c r="K43" s="185">
        <v>197000.0</v>
      </c>
      <c r="L43" s="186">
        <v>229900.0</v>
      </c>
      <c r="M43" s="187">
        <v>260000.0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5"/>
      <c r="B44" s="175"/>
      <c r="C44" s="175"/>
      <c r="D44" s="175"/>
      <c r="E44" s="175"/>
      <c r="F44" s="175"/>
      <c r="G44" s="130"/>
      <c r="H44" s="176">
        <v>4000.0</v>
      </c>
      <c r="I44" s="156">
        <v>135900.0</v>
      </c>
      <c r="J44" s="157">
        <v>219900.0</v>
      </c>
      <c r="K44" s="185">
        <v>260000.0</v>
      </c>
      <c r="L44" s="186">
        <v>303900.0</v>
      </c>
      <c r="M44" s="187">
        <v>344000.0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5"/>
      <c r="B45" s="175"/>
      <c r="C45" s="175"/>
      <c r="D45" s="175"/>
      <c r="E45" s="175"/>
      <c r="F45" s="175"/>
      <c r="G45" s="130"/>
      <c r="H45" s="176">
        <v>5000.0</v>
      </c>
      <c r="I45" s="156">
        <v>167900.0</v>
      </c>
      <c r="J45" s="157">
        <v>272900.0</v>
      </c>
      <c r="K45" s="185">
        <v>323000.0</v>
      </c>
      <c r="L45" s="186">
        <v>377900.0</v>
      </c>
      <c r="M45" s="187">
        <v>428000.0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5"/>
      <c r="B46" s="175"/>
      <c r="C46" s="175"/>
      <c r="D46" s="175"/>
      <c r="E46" s="175"/>
      <c r="F46" s="175"/>
      <c r="G46" s="130"/>
      <c r="H46" s="176">
        <v>6000.0</v>
      </c>
      <c r="I46" s="156">
        <v>199900.0</v>
      </c>
      <c r="J46" s="157">
        <v>325900.0</v>
      </c>
      <c r="K46" s="185">
        <v>386000.0</v>
      </c>
      <c r="L46" s="186">
        <v>451900.0</v>
      </c>
      <c r="M46" s="187">
        <v>512000.0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5"/>
      <c r="B47" s="175"/>
      <c r="C47" s="175"/>
      <c r="D47" s="175"/>
      <c r="E47" s="175"/>
      <c r="F47" s="175"/>
      <c r="G47" s="130"/>
      <c r="H47" s="176">
        <v>7000.0</v>
      </c>
      <c r="I47" s="156">
        <v>231900.0</v>
      </c>
      <c r="J47" s="157">
        <v>378900.0</v>
      </c>
      <c r="K47" s="185">
        <v>449000.0</v>
      </c>
      <c r="L47" s="186">
        <v>525900.0</v>
      </c>
      <c r="M47" s="187">
        <v>596000.0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5"/>
      <c r="B48" s="175"/>
      <c r="C48" s="175"/>
      <c r="D48" s="175"/>
      <c r="E48" s="175"/>
      <c r="F48" s="175"/>
      <c r="G48" s="130"/>
      <c r="H48" s="176">
        <v>8000.0</v>
      </c>
      <c r="I48" s="156">
        <v>263900.0</v>
      </c>
      <c r="J48" s="157">
        <v>431900.0</v>
      </c>
      <c r="K48" s="185">
        <v>512000.0</v>
      </c>
      <c r="L48" s="186">
        <v>599900.0</v>
      </c>
      <c r="M48" s="187">
        <v>680000.0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5"/>
      <c r="B49" s="175"/>
      <c r="C49" s="175"/>
      <c r="D49" s="175"/>
      <c r="E49" s="175"/>
      <c r="F49" s="175"/>
      <c r="G49" s="130"/>
      <c r="H49" s="176">
        <v>9000.0</v>
      </c>
      <c r="I49" s="156">
        <v>295900.0</v>
      </c>
      <c r="J49" s="157">
        <v>484900.0</v>
      </c>
      <c r="K49" s="185">
        <v>575000.0</v>
      </c>
      <c r="L49" s="186">
        <v>673900.0</v>
      </c>
      <c r="M49" s="187">
        <v>764000.0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5"/>
      <c r="B50" s="175"/>
      <c r="C50" s="175"/>
      <c r="D50" s="175"/>
      <c r="E50" s="175"/>
      <c r="F50" s="175"/>
      <c r="G50" s="130"/>
      <c r="H50" s="176">
        <v>10000.0</v>
      </c>
      <c r="I50" s="156">
        <v>327900.0</v>
      </c>
      <c r="J50" s="157">
        <v>537900.0</v>
      </c>
      <c r="K50" s="185">
        <v>638000.0</v>
      </c>
      <c r="L50" s="186">
        <v>747900.0</v>
      </c>
      <c r="M50" s="187">
        <v>848000.0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</sheetData>
  <mergeCells count="5">
    <mergeCell ref="A1:B1"/>
    <mergeCell ref="A8:F8"/>
    <mergeCell ref="H8:M8"/>
    <mergeCell ref="A31:F31"/>
    <mergeCell ref="H31:M3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3" width="9.38"/>
    <col customWidth="1" min="14" max="14" width="16.25"/>
  </cols>
  <sheetData>
    <row r="1" ht="23.25" customHeight="1">
      <c r="A1" s="61" t="s">
        <v>526</v>
      </c>
    </row>
    <row r="2" ht="15.75" customHeight="1">
      <c r="A2" s="54" t="s">
        <v>527</v>
      </c>
      <c r="B2" s="2" t="s">
        <v>528</v>
      </c>
      <c r="F2" s="2" t="s">
        <v>529</v>
      </c>
      <c r="J2" s="2" t="s">
        <v>530</v>
      </c>
    </row>
    <row r="3" ht="15.75" customHeight="1">
      <c r="A3" s="54" t="s">
        <v>531</v>
      </c>
      <c r="B3" s="54" t="s">
        <v>343</v>
      </c>
      <c r="D3" s="54" t="s">
        <v>344</v>
      </c>
      <c r="F3" s="54" t="s">
        <v>343</v>
      </c>
      <c r="H3" s="54" t="s">
        <v>344</v>
      </c>
      <c r="J3" s="54" t="s">
        <v>343</v>
      </c>
      <c r="L3" s="54" t="s">
        <v>344</v>
      </c>
    </row>
    <row r="4" ht="15.75" customHeight="1">
      <c r="A4" s="64" t="s">
        <v>532</v>
      </c>
      <c r="B4" s="64" t="s">
        <v>533</v>
      </c>
      <c r="C4" s="64" t="s">
        <v>534</v>
      </c>
      <c r="D4" s="64" t="s">
        <v>533</v>
      </c>
      <c r="E4" s="64" t="s">
        <v>534</v>
      </c>
      <c r="F4" s="64" t="s">
        <v>533</v>
      </c>
      <c r="G4" s="64" t="s">
        <v>534</v>
      </c>
      <c r="H4" s="64" t="s">
        <v>533</v>
      </c>
      <c r="I4" s="64" t="s">
        <v>534</v>
      </c>
      <c r="J4" s="64" t="s">
        <v>533</v>
      </c>
      <c r="K4" s="64" t="s">
        <v>534</v>
      </c>
      <c r="L4" s="64" t="s">
        <v>533</v>
      </c>
      <c r="M4" s="64" t="s">
        <v>534</v>
      </c>
    </row>
    <row r="5" ht="15.75" customHeight="1">
      <c r="A5" s="75">
        <v>2.0</v>
      </c>
      <c r="B5" s="75">
        <v>11000.0</v>
      </c>
      <c r="C5" s="75">
        <v>11500.0</v>
      </c>
      <c r="D5" s="75">
        <v>11500.0</v>
      </c>
      <c r="E5" s="75">
        <v>12500.0</v>
      </c>
      <c r="F5" s="75">
        <v>11000.0</v>
      </c>
      <c r="G5" s="75">
        <v>11500.0</v>
      </c>
      <c r="H5" s="75">
        <v>11500.0</v>
      </c>
      <c r="I5" s="75">
        <v>12500.0</v>
      </c>
      <c r="J5" s="75">
        <v>12000.0</v>
      </c>
      <c r="K5" s="75">
        <v>12500.0</v>
      </c>
      <c r="L5" s="75">
        <v>12500.0</v>
      </c>
      <c r="M5" s="75">
        <v>13500.0</v>
      </c>
      <c r="N5" s="76"/>
    </row>
    <row r="6" ht="15.75" customHeight="1">
      <c r="A6" s="75">
        <v>4.0</v>
      </c>
      <c r="B6" s="75">
        <v>9100.0</v>
      </c>
      <c r="C6" s="75">
        <v>9900.0</v>
      </c>
      <c r="D6" s="75">
        <v>9200.0</v>
      </c>
      <c r="E6" s="75">
        <v>10000.0</v>
      </c>
      <c r="F6" s="75">
        <v>9100.0</v>
      </c>
      <c r="G6" s="75">
        <v>9900.0</v>
      </c>
      <c r="H6" s="75">
        <v>9200.0</v>
      </c>
      <c r="I6" s="75">
        <v>10000.0</v>
      </c>
      <c r="J6" s="75">
        <v>9800.0</v>
      </c>
      <c r="K6" s="75">
        <v>10500.0</v>
      </c>
      <c r="L6" s="75">
        <v>10100.0</v>
      </c>
      <c r="M6" s="75">
        <v>10800.0</v>
      </c>
      <c r="N6" s="85"/>
    </row>
    <row r="7" ht="15.75" customHeight="1">
      <c r="A7" s="75">
        <v>6.0</v>
      </c>
      <c r="B7" s="75">
        <v>7300.0</v>
      </c>
      <c r="C7" s="75">
        <v>8100.0</v>
      </c>
      <c r="D7" s="75">
        <v>7500.0</v>
      </c>
      <c r="E7" s="75">
        <v>8300.0</v>
      </c>
      <c r="F7" s="75">
        <v>7300.0</v>
      </c>
      <c r="G7" s="75">
        <v>8100.0</v>
      </c>
      <c r="H7" s="75">
        <v>7500.0</v>
      </c>
      <c r="I7" s="75">
        <v>8300.0</v>
      </c>
      <c r="J7" s="75">
        <v>8000.0</v>
      </c>
      <c r="K7" s="75">
        <v>8600.0</v>
      </c>
      <c r="L7" s="75">
        <v>8300.0</v>
      </c>
      <c r="M7" s="75">
        <v>8900.0</v>
      </c>
    </row>
    <row r="8" ht="15.75" customHeight="1">
      <c r="A8" s="75">
        <v>8.0</v>
      </c>
      <c r="B8" s="75">
        <v>7100.0</v>
      </c>
      <c r="C8" s="75">
        <v>7900.0</v>
      </c>
      <c r="D8" s="75">
        <v>7300.0</v>
      </c>
      <c r="E8" s="75">
        <v>8100.0</v>
      </c>
      <c r="F8" s="75">
        <v>7100.0</v>
      </c>
      <c r="G8" s="75">
        <v>7900.0</v>
      </c>
      <c r="H8" s="75">
        <v>7300.0</v>
      </c>
      <c r="I8" s="75">
        <v>8100.0</v>
      </c>
      <c r="J8" s="75">
        <v>7800.0</v>
      </c>
      <c r="K8" s="75">
        <v>8400.0</v>
      </c>
      <c r="L8" s="75">
        <v>8100.0</v>
      </c>
      <c r="M8" s="75">
        <v>8700.0</v>
      </c>
      <c r="N8" s="188"/>
    </row>
    <row r="9" ht="15.75" customHeight="1">
      <c r="A9" s="75">
        <v>10.0</v>
      </c>
      <c r="B9" s="75">
        <v>6900.0</v>
      </c>
      <c r="C9" s="75">
        <v>7700.0</v>
      </c>
      <c r="D9" s="75">
        <v>7100.0</v>
      </c>
      <c r="E9" s="75">
        <v>7900.0</v>
      </c>
      <c r="F9" s="75">
        <v>6900.0</v>
      </c>
      <c r="G9" s="75">
        <v>7700.0</v>
      </c>
      <c r="H9" s="75">
        <v>7100.0</v>
      </c>
      <c r="I9" s="75">
        <v>7900.0</v>
      </c>
      <c r="J9" s="75">
        <v>7600.0</v>
      </c>
      <c r="K9" s="75">
        <v>8200.0</v>
      </c>
      <c r="L9" s="75">
        <v>7900.0</v>
      </c>
      <c r="M9" s="75">
        <v>8500.0</v>
      </c>
    </row>
    <row r="10" ht="15.75" customHeight="1">
      <c r="A10" s="75">
        <v>20.0</v>
      </c>
      <c r="B10" s="75">
        <v>5200.0</v>
      </c>
      <c r="C10" s="75">
        <v>6000.0</v>
      </c>
      <c r="D10" s="75">
        <v>5400.0</v>
      </c>
      <c r="E10" s="75">
        <v>6200.0</v>
      </c>
      <c r="F10" s="75">
        <v>5200.0</v>
      </c>
      <c r="G10" s="75">
        <v>6000.0</v>
      </c>
      <c r="H10" s="75">
        <v>5400.0</v>
      </c>
      <c r="I10" s="75">
        <v>6200.0</v>
      </c>
      <c r="J10" s="75">
        <v>5900.0</v>
      </c>
      <c r="K10" s="75">
        <v>6500.0</v>
      </c>
      <c r="L10" s="75">
        <v>6200.0</v>
      </c>
      <c r="M10" s="75">
        <v>6800.0</v>
      </c>
    </row>
    <row r="11" ht="15.75" customHeight="1">
      <c r="A11" s="75">
        <v>30.0</v>
      </c>
      <c r="B11" s="75">
        <v>5030.0</v>
      </c>
      <c r="C11" s="75">
        <v>5800.0</v>
      </c>
      <c r="D11" s="75">
        <v>5230.0</v>
      </c>
      <c r="E11" s="75">
        <v>6000.0</v>
      </c>
      <c r="F11" s="75">
        <v>5030.0</v>
      </c>
      <c r="G11" s="75">
        <v>5800.0</v>
      </c>
      <c r="H11" s="75">
        <v>5230.0</v>
      </c>
      <c r="I11" s="75">
        <v>6000.0</v>
      </c>
      <c r="J11" s="75">
        <v>5750.0</v>
      </c>
      <c r="K11" s="75">
        <v>6350.0</v>
      </c>
      <c r="L11" s="75">
        <v>6050.0</v>
      </c>
      <c r="M11" s="75">
        <v>6650.0</v>
      </c>
    </row>
    <row r="12" ht="15.75" customHeight="1">
      <c r="A12" s="75">
        <v>40.0</v>
      </c>
      <c r="B12" s="75">
        <v>4870.0</v>
      </c>
      <c r="C12" s="75">
        <v>5600.0</v>
      </c>
      <c r="D12" s="75">
        <v>5070.0</v>
      </c>
      <c r="E12" s="75">
        <v>5800.0</v>
      </c>
      <c r="F12" s="75">
        <v>4870.0</v>
      </c>
      <c r="G12" s="75">
        <v>5600.0</v>
      </c>
      <c r="H12" s="75">
        <v>5070.0</v>
      </c>
      <c r="I12" s="75">
        <v>5800.0</v>
      </c>
      <c r="J12" s="75">
        <v>5600.0</v>
      </c>
      <c r="K12" s="75">
        <v>6200.0</v>
      </c>
      <c r="L12" s="75">
        <v>5900.0</v>
      </c>
      <c r="M12" s="75">
        <v>6500.0</v>
      </c>
    </row>
    <row r="13" ht="15.75" customHeight="1">
      <c r="A13" s="75">
        <v>50.0</v>
      </c>
      <c r="B13" s="75">
        <v>4700.0</v>
      </c>
      <c r="C13" s="75">
        <v>5400.0</v>
      </c>
      <c r="D13" s="75">
        <v>4900.0</v>
      </c>
      <c r="E13" s="75">
        <v>5600.0</v>
      </c>
      <c r="F13" s="75">
        <v>4700.0</v>
      </c>
      <c r="G13" s="75">
        <v>5400.0</v>
      </c>
      <c r="H13" s="75">
        <v>4900.0</v>
      </c>
      <c r="I13" s="75">
        <v>5600.0</v>
      </c>
      <c r="J13" s="75">
        <v>5450.0</v>
      </c>
      <c r="K13" s="75">
        <v>6050.0</v>
      </c>
      <c r="L13" s="75">
        <v>5750.0</v>
      </c>
      <c r="M13" s="75">
        <v>6350.0</v>
      </c>
    </row>
    <row r="14" ht="15.75" customHeight="1">
      <c r="A14" s="75">
        <v>60.0</v>
      </c>
      <c r="B14" s="75">
        <v>4660.0</v>
      </c>
      <c r="C14" s="75">
        <v>5340.0</v>
      </c>
      <c r="D14" s="75">
        <v>4820.0</v>
      </c>
      <c r="E14" s="75">
        <v>5540.0</v>
      </c>
      <c r="F14" s="75">
        <v>4660.0</v>
      </c>
      <c r="G14" s="75">
        <v>5340.0</v>
      </c>
      <c r="H14" s="75">
        <v>4820.0</v>
      </c>
      <c r="I14" s="75">
        <v>5540.0</v>
      </c>
      <c r="J14" s="75">
        <v>5380.0</v>
      </c>
      <c r="K14" s="75">
        <v>5980.0</v>
      </c>
      <c r="L14" s="75">
        <v>5680.0</v>
      </c>
      <c r="M14" s="75">
        <v>6280.0</v>
      </c>
    </row>
    <row r="15" ht="15.75" customHeight="1">
      <c r="A15" s="75">
        <v>70.0</v>
      </c>
      <c r="B15" s="75">
        <v>4620.0</v>
      </c>
      <c r="C15" s="75">
        <v>5280.0</v>
      </c>
      <c r="D15" s="75">
        <v>4740.0</v>
      </c>
      <c r="E15" s="75">
        <v>5480.0</v>
      </c>
      <c r="F15" s="75">
        <v>4620.0</v>
      </c>
      <c r="G15" s="75">
        <v>5280.0</v>
      </c>
      <c r="H15" s="75">
        <v>4740.0</v>
      </c>
      <c r="I15" s="75">
        <v>5480.0</v>
      </c>
      <c r="J15" s="75">
        <v>5310.0</v>
      </c>
      <c r="K15" s="75">
        <v>5910.0</v>
      </c>
      <c r="L15" s="75">
        <v>5610.0</v>
      </c>
      <c r="M15" s="75">
        <v>6210.0</v>
      </c>
    </row>
    <row r="16" ht="15.75" customHeight="1">
      <c r="A16" s="75">
        <v>80.0</v>
      </c>
      <c r="B16" s="75">
        <v>4580.0</v>
      </c>
      <c r="C16" s="75">
        <v>5220.0</v>
      </c>
      <c r="D16" s="75">
        <v>4660.0</v>
      </c>
      <c r="E16" s="75">
        <v>5420.0</v>
      </c>
      <c r="F16" s="75">
        <v>4580.0</v>
      </c>
      <c r="G16" s="75">
        <v>5220.0</v>
      </c>
      <c r="H16" s="75">
        <v>4660.0</v>
      </c>
      <c r="I16" s="75">
        <v>5420.0</v>
      </c>
      <c r="J16" s="75">
        <v>5240.0</v>
      </c>
      <c r="K16" s="75">
        <v>5840.0</v>
      </c>
      <c r="L16" s="75">
        <v>5540.0</v>
      </c>
      <c r="M16" s="75">
        <v>6140.0</v>
      </c>
    </row>
    <row r="17" ht="15.75" customHeight="1">
      <c r="A17" s="75">
        <v>90.0</v>
      </c>
      <c r="B17" s="75">
        <v>4540.0</v>
      </c>
      <c r="C17" s="75">
        <v>5160.0</v>
      </c>
      <c r="D17" s="75">
        <v>4580.0</v>
      </c>
      <c r="E17" s="75">
        <v>5360.0</v>
      </c>
      <c r="F17" s="75">
        <v>4540.0</v>
      </c>
      <c r="G17" s="75">
        <v>5160.0</v>
      </c>
      <c r="H17" s="75">
        <v>4580.0</v>
      </c>
      <c r="I17" s="75">
        <v>5360.0</v>
      </c>
      <c r="J17" s="75">
        <v>5170.0</v>
      </c>
      <c r="K17" s="75">
        <v>5770.0</v>
      </c>
      <c r="L17" s="75">
        <v>5470.0</v>
      </c>
      <c r="M17" s="75">
        <v>6070.0</v>
      </c>
    </row>
    <row r="18" ht="15.75" customHeight="1">
      <c r="A18" s="75">
        <v>100.0</v>
      </c>
      <c r="B18" s="75">
        <v>4500.0</v>
      </c>
      <c r="C18" s="75">
        <v>5100.0</v>
      </c>
      <c r="D18" s="75">
        <v>4500.0</v>
      </c>
      <c r="E18" s="75">
        <v>5300.0</v>
      </c>
      <c r="F18" s="75">
        <v>4500.0</v>
      </c>
      <c r="G18" s="75">
        <v>5100.0</v>
      </c>
      <c r="H18" s="75">
        <v>4500.0</v>
      </c>
      <c r="I18" s="75">
        <v>5300.0</v>
      </c>
      <c r="J18" s="75">
        <v>5100.0</v>
      </c>
      <c r="K18" s="75">
        <v>5700.0</v>
      </c>
      <c r="L18" s="75">
        <v>5400.0</v>
      </c>
      <c r="M18" s="75">
        <v>6000.0</v>
      </c>
    </row>
    <row r="19" ht="15.75" customHeight="1">
      <c r="A19" s="75">
        <v>120.0</v>
      </c>
      <c r="B19" s="75">
        <v>4340.0</v>
      </c>
      <c r="C19" s="75">
        <v>4980.0</v>
      </c>
      <c r="D19" s="75">
        <v>4380.0</v>
      </c>
      <c r="E19" s="75">
        <v>5180.0</v>
      </c>
      <c r="F19" s="75">
        <v>4340.0</v>
      </c>
      <c r="G19" s="75">
        <v>4980.0</v>
      </c>
      <c r="H19" s="75">
        <v>4380.0</v>
      </c>
      <c r="I19" s="75">
        <v>5180.0</v>
      </c>
      <c r="J19" s="75">
        <v>4960.0</v>
      </c>
      <c r="K19" s="75">
        <v>5540.0</v>
      </c>
      <c r="L19" s="75">
        <v>5260.0</v>
      </c>
      <c r="M19" s="75">
        <v>5840.0</v>
      </c>
    </row>
    <row r="20" ht="15.75" customHeight="1">
      <c r="A20" s="75">
        <v>140.0</v>
      </c>
      <c r="B20" s="75">
        <v>4180.0</v>
      </c>
      <c r="C20" s="75">
        <v>4860.0</v>
      </c>
      <c r="D20" s="75">
        <v>4260.0</v>
      </c>
      <c r="E20" s="75">
        <v>5060.0</v>
      </c>
      <c r="F20" s="75">
        <v>4180.0</v>
      </c>
      <c r="G20" s="75">
        <v>4860.0</v>
      </c>
      <c r="H20" s="75">
        <v>4260.0</v>
      </c>
      <c r="I20" s="75">
        <v>5060.0</v>
      </c>
      <c r="J20" s="75">
        <v>4820.0</v>
      </c>
      <c r="K20" s="75">
        <v>5380.0</v>
      </c>
      <c r="L20" s="75">
        <v>5120.0</v>
      </c>
      <c r="M20" s="75">
        <v>5680.0</v>
      </c>
    </row>
    <row r="21" ht="15.75" customHeight="1">
      <c r="A21" s="75">
        <v>160.0</v>
      </c>
      <c r="B21" s="75">
        <v>4020.0</v>
      </c>
      <c r="C21" s="75">
        <v>4740.0</v>
      </c>
      <c r="D21" s="75">
        <v>4140.0</v>
      </c>
      <c r="E21" s="75">
        <v>4940.0</v>
      </c>
      <c r="F21" s="75">
        <v>4020.0</v>
      </c>
      <c r="G21" s="75">
        <v>4740.0</v>
      </c>
      <c r="H21" s="75">
        <v>4140.0</v>
      </c>
      <c r="I21" s="75">
        <v>4940.0</v>
      </c>
      <c r="J21" s="75">
        <v>4680.0</v>
      </c>
      <c r="K21" s="75">
        <v>5220.0</v>
      </c>
      <c r="L21" s="75">
        <v>4980.0</v>
      </c>
      <c r="M21" s="75">
        <v>5520.0</v>
      </c>
    </row>
    <row r="22" ht="15.75" customHeight="1">
      <c r="A22" s="75">
        <v>180.0</v>
      </c>
      <c r="B22" s="75">
        <v>3860.0</v>
      </c>
      <c r="C22" s="75">
        <v>4620.0</v>
      </c>
      <c r="D22" s="75">
        <v>4020.0</v>
      </c>
      <c r="E22" s="75">
        <v>4820.0</v>
      </c>
      <c r="F22" s="75">
        <v>3860.0</v>
      </c>
      <c r="G22" s="75">
        <v>4620.0</v>
      </c>
      <c r="H22" s="75">
        <v>4020.0</v>
      </c>
      <c r="I22" s="75">
        <v>4820.0</v>
      </c>
      <c r="J22" s="75">
        <v>4540.0</v>
      </c>
      <c r="K22" s="75">
        <v>5060.0</v>
      </c>
      <c r="L22" s="75">
        <v>4840.0</v>
      </c>
      <c r="M22" s="75">
        <v>5360.0</v>
      </c>
    </row>
    <row r="23" ht="15.75" customHeight="1">
      <c r="A23" s="75">
        <v>200.0</v>
      </c>
      <c r="B23" s="75">
        <v>3700.0</v>
      </c>
      <c r="C23" s="75">
        <v>4500.0</v>
      </c>
      <c r="D23" s="75">
        <v>3900.0</v>
      </c>
      <c r="E23" s="75">
        <v>4700.0</v>
      </c>
      <c r="F23" s="75">
        <v>3700.0</v>
      </c>
      <c r="G23" s="75">
        <v>4500.0</v>
      </c>
      <c r="H23" s="75">
        <v>3900.0</v>
      </c>
      <c r="I23" s="75">
        <v>4700.0</v>
      </c>
      <c r="J23" s="75">
        <v>4400.0</v>
      </c>
      <c r="K23" s="75">
        <v>4900.0</v>
      </c>
      <c r="L23" s="75">
        <v>4700.0</v>
      </c>
      <c r="M23" s="75">
        <v>5200.0</v>
      </c>
    </row>
    <row r="24" ht="15.75" customHeight="1">
      <c r="A24" s="75">
        <v>250.0</v>
      </c>
      <c r="B24" s="75">
        <v>3570.0</v>
      </c>
      <c r="C24" s="75">
        <v>4400.0</v>
      </c>
      <c r="D24" s="75">
        <v>3770.0</v>
      </c>
      <c r="E24" s="75">
        <v>4600.0</v>
      </c>
      <c r="F24" s="75">
        <v>3570.0</v>
      </c>
      <c r="G24" s="75">
        <v>4400.0</v>
      </c>
      <c r="H24" s="75">
        <v>3770.0</v>
      </c>
      <c r="I24" s="75">
        <v>4600.0</v>
      </c>
      <c r="J24" s="75">
        <v>4350.0</v>
      </c>
      <c r="K24" s="75">
        <v>4850.0</v>
      </c>
      <c r="L24" s="75">
        <v>4650.0</v>
      </c>
      <c r="M24" s="75">
        <v>5150.0</v>
      </c>
    </row>
    <row r="25" ht="15.75" customHeight="1">
      <c r="A25" s="75">
        <v>300.0</v>
      </c>
      <c r="B25" s="75">
        <v>3450.0</v>
      </c>
      <c r="C25" s="75">
        <v>4300.0</v>
      </c>
      <c r="D25" s="75">
        <v>3650.0</v>
      </c>
      <c r="E25" s="75">
        <v>4500.0</v>
      </c>
      <c r="F25" s="75">
        <v>3450.0</v>
      </c>
      <c r="G25" s="75">
        <v>4300.0</v>
      </c>
      <c r="H25" s="75">
        <v>3650.0</v>
      </c>
      <c r="I25" s="75">
        <v>4500.0</v>
      </c>
      <c r="J25" s="75">
        <v>4300.0</v>
      </c>
      <c r="K25" s="75">
        <v>4800.0</v>
      </c>
      <c r="L25" s="75">
        <v>4600.0</v>
      </c>
      <c r="M25" s="75">
        <v>5100.0</v>
      </c>
    </row>
    <row r="26" ht="15.75" customHeight="1">
      <c r="A26" s="75">
        <v>350.0</v>
      </c>
      <c r="B26" s="75">
        <v>3300.0</v>
      </c>
      <c r="C26" s="75">
        <v>4150.0</v>
      </c>
      <c r="D26" s="75">
        <v>3500.0</v>
      </c>
      <c r="E26" s="75">
        <v>4350.0</v>
      </c>
      <c r="F26" s="75">
        <v>3300.0</v>
      </c>
      <c r="G26" s="75">
        <v>4150.0</v>
      </c>
      <c r="H26" s="75">
        <v>3500.0</v>
      </c>
      <c r="I26" s="75">
        <v>4350.0</v>
      </c>
      <c r="J26" s="75">
        <v>4200.0</v>
      </c>
      <c r="K26" s="75">
        <v>4700.0</v>
      </c>
      <c r="L26" s="75">
        <v>4500.0</v>
      </c>
      <c r="M26" s="75">
        <v>5000.0</v>
      </c>
    </row>
    <row r="27" ht="15.75" customHeight="1">
      <c r="A27" s="75">
        <v>400.0</v>
      </c>
      <c r="B27" s="75">
        <v>3150.0</v>
      </c>
      <c r="C27" s="75">
        <v>4000.0</v>
      </c>
      <c r="D27" s="75">
        <v>3350.0</v>
      </c>
      <c r="E27" s="75">
        <v>4200.0</v>
      </c>
      <c r="F27" s="75">
        <v>3150.0</v>
      </c>
      <c r="G27" s="75">
        <v>4000.0</v>
      </c>
      <c r="H27" s="75">
        <v>3350.0</v>
      </c>
      <c r="I27" s="75">
        <v>4200.0</v>
      </c>
      <c r="J27" s="75">
        <v>4100.0</v>
      </c>
      <c r="K27" s="75">
        <v>4600.0</v>
      </c>
      <c r="L27" s="75">
        <v>4400.0</v>
      </c>
      <c r="M27" s="75">
        <v>4900.0</v>
      </c>
    </row>
    <row r="28" ht="15.75" customHeight="1">
      <c r="A28" s="75">
        <v>450.0</v>
      </c>
      <c r="B28" s="75">
        <v>3130.0</v>
      </c>
      <c r="C28" s="75">
        <v>3910.0</v>
      </c>
      <c r="D28" s="75">
        <v>3280.0</v>
      </c>
      <c r="E28" s="75">
        <v>4090.0</v>
      </c>
      <c r="F28" s="75">
        <v>3130.0</v>
      </c>
      <c r="G28" s="75">
        <v>3910.0</v>
      </c>
      <c r="H28" s="75">
        <v>3280.0</v>
      </c>
      <c r="I28" s="75">
        <v>4090.0</v>
      </c>
      <c r="J28" s="75">
        <v>3950.0</v>
      </c>
      <c r="K28" s="75">
        <v>4500.0</v>
      </c>
      <c r="L28" s="75">
        <v>4200.0</v>
      </c>
      <c r="M28" s="75">
        <v>4800.0</v>
      </c>
    </row>
    <row r="29" ht="15.75" customHeight="1">
      <c r="A29" s="75">
        <v>500.0</v>
      </c>
      <c r="B29" s="75">
        <v>3090.0</v>
      </c>
      <c r="C29" s="75">
        <v>3820.0</v>
      </c>
      <c r="D29" s="75">
        <v>3200.0</v>
      </c>
      <c r="E29" s="75">
        <v>3970.0</v>
      </c>
      <c r="F29" s="75">
        <v>3090.0</v>
      </c>
      <c r="G29" s="75">
        <v>3820.0</v>
      </c>
      <c r="H29" s="75">
        <v>3200.0</v>
      </c>
      <c r="I29" s="75">
        <v>3970.0</v>
      </c>
      <c r="J29" s="75">
        <v>3800.0</v>
      </c>
      <c r="K29" s="75">
        <v>4400.0</v>
      </c>
      <c r="L29" s="75">
        <v>4000.0</v>
      </c>
      <c r="M29" s="75">
        <v>4700.0</v>
      </c>
    </row>
    <row r="30" ht="15.75" customHeight="1">
      <c r="A30" s="75">
        <v>550.0</v>
      </c>
      <c r="B30" s="75">
        <v>3010.0</v>
      </c>
      <c r="C30" s="75">
        <v>3740.0</v>
      </c>
      <c r="D30" s="75">
        <v>3120.0</v>
      </c>
      <c r="E30" s="75">
        <v>3890.0</v>
      </c>
      <c r="F30" s="75">
        <v>3010.0</v>
      </c>
      <c r="G30" s="75">
        <v>3740.0</v>
      </c>
      <c r="H30" s="75">
        <v>3120.0</v>
      </c>
      <c r="I30" s="75">
        <v>3890.0</v>
      </c>
      <c r="J30" s="75">
        <v>3720.0</v>
      </c>
      <c r="K30" s="75">
        <v>4320.0</v>
      </c>
      <c r="L30" s="75">
        <v>3910.0</v>
      </c>
      <c r="M30" s="75">
        <v>4610.0</v>
      </c>
    </row>
    <row r="31" ht="15.75" customHeight="1">
      <c r="A31" s="75">
        <v>600.0</v>
      </c>
      <c r="B31" s="75">
        <v>2930.0</v>
      </c>
      <c r="C31" s="75">
        <v>3660.0</v>
      </c>
      <c r="D31" s="75">
        <v>3040.0</v>
      </c>
      <c r="E31" s="75">
        <v>3810.0</v>
      </c>
      <c r="F31" s="75">
        <v>2930.0</v>
      </c>
      <c r="G31" s="75">
        <v>3660.0</v>
      </c>
      <c r="H31" s="75">
        <v>3040.0</v>
      </c>
      <c r="I31" s="75">
        <v>3810.0</v>
      </c>
      <c r="J31" s="75">
        <v>3640.0</v>
      </c>
      <c r="K31" s="75">
        <v>4340.0</v>
      </c>
      <c r="L31" s="75">
        <v>3820.0</v>
      </c>
      <c r="M31" s="75">
        <v>4520.0</v>
      </c>
    </row>
    <row r="32" ht="15.75" customHeight="1">
      <c r="A32" s="75">
        <v>650.0</v>
      </c>
      <c r="B32" s="75">
        <v>2850.0</v>
      </c>
      <c r="C32" s="75">
        <v>3580.0</v>
      </c>
      <c r="D32" s="75">
        <v>2960.0</v>
      </c>
      <c r="E32" s="75">
        <v>3730.0</v>
      </c>
      <c r="F32" s="75">
        <v>2850.0</v>
      </c>
      <c r="G32" s="75">
        <v>3580.0</v>
      </c>
      <c r="H32" s="75">
        <v>2960.0</v>
      </c>
      <c r="I32" s="75">
        <v>3730.0</v>
      </c>
      <c r="J32" s="75">
        <v>3560.0</v>
      </c>
      <c r="K32" s="75">
        <v>4160.0</v>
      </c>
      <c r="L32" s="75">
        <v>3730.0</v>
      </c>
      <c r="M32" s="75">
        <v>4430.0</v>
      </c>
    </row>
    <row r="33" ht="15.75" customHeight="1">
      <c r="A33" s="75">
        <v>700.0</v>
      </c>
      <c r="B33" s="75">
        <v>2770.0</v>
      </c>
      <c r="C33" s="75">
        <v>3500.0</v>
      </c>
      <c r="D33" s="75">
        <v>2880.0</v>
      </c>
      <c r="E33" s="75">
        <v>3650.0</v>
      </c>
      <c r="F33" s="75">
        <v>2770.0</v>
      </c>
      <c r="G33" s="75">
        <v>3500.0</v>
      </c>
      <c r="H33" s="75">
        <v>2880.0</v>
      </c>
      <c r="I33" s="75">
        <v>3650.0</v>
      </c>
      <c r="J33" s="75">
        <v>3480.0</v>
      </c>
      <c r="K33" s="75">
        <v>4080.0</v>
      </c>
      <c r="L33" s="75">
        <v>3640.0</v>
      </c>
      <c r="M33" s="75">
        <v>4340.0</v>
      </c>
    </row>
    <row r="34" ht="15.75" customHeight="1">
      <c r="A34" s="75">
        <v>750.0</v>
      </c>
      <c r="B34" s="75">
        <v>2690.0</v>
      </c>
      <c r="C34" s="75">
        <v>3420.0</v>
      </c>
      <c r="D34" s="75">
        <v>2800.0</v>
      </c>
      <c r="E34" s="75">
        <v>3570.0</v>
      </c>
      <c r="F34" s="75">
        <v>2690.0</v>
      </c>
      <c r="G34" s="75">
        <v>3420.0</v>
      </c>
      <c r="H34" s="75">
        <v>2800.0</v>
      </c>
      <c r="I34" s="75">
        <v>3570.0</v>
      </c>
      <c r="J34" s="75">
        <v>3400.0</v>
      </c>
      <c r="K34" s="75">
        <v>4000.0</v>
      </c>
      <c r="L34" s="75">
        <v>3550.0</v>
      </c>
      <c r="M34" s="75">
        <v>4250.0</v>
      </c>
    </row>
    <row r="35" ht="15.75" customHeight="1">
      <c r="A35" s="75">
        <v>800.0</v>
      </c>
      <c r="B35" s="75">
        <v>2610.0</v>
      </c>
      <c r="C35" s="75">
        <v>3340.0</v>
      </c>
      <c r="D35" s="75">
        <v>2720.0</v>
      </c>
      <c r="E35" s="75">
        <v>3490.0</v>
      </c>
      <c r="F35" s="75">
        <v>2610.0</v>
      </c>
      <c r="G35" s="75">
        <v>3340.0</v>
      </c>
      <c r="H35" s="75">
        <v>2720.0</v>
      </c>
      <c r="I35" s="75">
        <v>3490.0</v>
      </c>
      <c r="J35" s="75">
        <v>3320.0</v>
      </c>
      <c r="K35" s="75">
        <v>3920.0</v>
      </c>
      <c r="L35" s="75">
        <v>3460.0</v>
      </c>
      <c r="M35" s="75">
        <v>4160.0</v>
      </c>
    </row>
    <row r="36" ht="15.75" customHeight="1">
      <c r="A36" s="75">
        <v>850.0</v>
      </c>
      <c r="B36" s="75">
        <v>2530.0</v>
      </c>
      <c r="C36" s="75">
        <v>3260.0</v>
      </c>
      <c r="D36" s="75">
        <v>2640.0</v>
      </c>
      <c r="E36" s="75">
        <v>3410.0</v>
      </c>
      <c r="F36" s="75">
        <v>2530.0</v>
      </c>
      <c r="G36" s="75">
        <v>3180.0</v>
      </c>
      <c r="H36" s="75">
        <v>2640.0</v>
      </c>
      <c r="I36" s="75">
        <v>3410.0</v>
      </c>
      <c r="J36" s="75">
        <v>3240.0</v>
      </c>
      <c r="K36" s="75">
        <v>3840.0</v>
      </c>
      <c r="L36" s="75">
        <v>3370.0</v>
      </c>
      <c r="M36" s="75">
        <v>4070.0</v>
      </c>
    </row>
    <row r="37" ht="15.75" customHeight="1">
      <c r="A37" s="75">
        <v>900.0</v>
      </c>
      <c r="B37" s="75">
        <v>2450.0</v>
      </c>
      <c r="C37" s="75">
        <v>3180.0</v>
      </c>
      <c r="D37" s="75">
        <v>2560.0</v>
      </c>
      <c r="E37" s="75">
        <v>3330.0</v>
      </c>
      <c r="F37" s="75">
        <v>2450.0</v>
      </c>
      <c r="G37" s="75">
        <v>3100.0</v>
      </c>
      <c r="H37" s="75">
        <v>2560.0</v>
      </c>
      <c r="I37" s="75">
        <v>3330.0</v>
      </c>
      <c r="J37" s="75">
        <v>3160.0</v>
      </c>
      <c r="K37" s="75">
        <v>3760.0</v>
      </c>
      <c r="L37" s="75">
        <v>3280.0</v>
      </c>
      <c r="M37" s="75">
        <v>3980.0</v>
      </c>
    </row>
    <row r="38" ht="15.75" customHeight="1">
      <c r="A38" s="75">
        <v>950.0</v>
      </c>
      <c r="B38" s="75">
        <v>2370.0</v>
      </c>
      <c r="C38" s="75">
        <v>3100.0</v>
      </c>
      <c r="D38" s="75">
        <v>2480.0</v>
      </c>
      <c r="E38" s="75">
        <v>3280.0</v>
      </c>
      <c r="F38" s="75">
        <v>2370.0</v>
      </c>
      <c r="G38" s="75">
        <v>3020.0</v>
      </c>
      <c r="H38" s="75">
        <v>2480.0</v>
      </c>
      <c r="I38" s="75">
        <v>3250.0</v>
      </c>
      <c r="J38" s="75">
        <v>3080.0</v>
      </c>
      <c r="K38" s="75">
        <v>3680.0</v>
      </c>
      <c r="L38" s="75">
        <v>3190.0</v>
      </c>
      <c r="M38" s="75">
        <v>3890.0</v>
      </c>
    </row>
    <row r="39" ht="15.75" customHeight="1">
      <c r="A39" s="75">
        <v>1000.0</v>
      </c>
      <c r="B39" s="75">
        <v>2290.0</v>
      </c>
      <c r="C39" s="75">
        <v>3020.0</v>
      </c>
      <c r="D39" s="75">
        <v>2400.0</v>
      </c>
      <c r="E39" s="75">
        <v>3200.0</v>
      </c>
      <c r="F39" s="75">
        <v>2290.0</v>
      </c>
      <c r="G39" s="75">
        <v>3020.0</v>
      </c>
      <c r="H39" s="75">
        <v>2400.0</v>
      </c>
      <c r="I39" s="75">
        <v>3170.0</v>
      </c>
      <c r="J39" s="75">
        <v>3000.0</v>
      </c>
      <c r="K39" s="75">
        <v>3600.0</v>
      </c>
      <c r="L39" s="75">
        <v>3100.0</v>
      </c>
      <c r="M39" s="75">
        <v>3800.0</v>
      </c>
    </row>
    <row r="40" ht="15.75" customHeight="1">
      <c r="A40" s="75">
        <v>1500.0</v>
      </c>
      <c r="B40" s="75">
        <v>2270.0</v>
      </c>
      <c r="C40" s="75">
        <v>2990.0</v>
      </c>
      <c r="D40" s="75">
        <v>2380.0</v>
      </c>
      <c r="E40" s="75">
        <v>3180.0</v>
      </c>
      <c r="F40" s="75">
        <v>2270.0</v>
      </c>
      <c r="G40" s="75">
        <v>2990.0</v>
      </c>
      <c r="H40" s="75">
        <v>2380.0</v>
      </c>
      <c r="I40" s="75">
        <v>3180.0</v>
      </c>
      <c r="J40" s="75">
        <v>2950.0</v>
      </c>
      <c r="K40" s="75">
        <v>3550.0</v>
      </c>
      <c r="L40" s="75">
        <v>3050.0</v>
      </c>
      <c r="M40" s="75">
        <v>3750.0</v>
      </c>
    </row>
    <row r="41" ht="15.75" customHeight="1">
      <c r="A41" s="75">
        <v>2000.0</v>
      </c>
      <c r="B41" s="75">
        <v>2250.0</v>
      </c>
      <c r="C41" s="75">
        <v>2960.0</v>
      </c>
      <c r="D41" s="75">
        <v>2360.0</v>
      </c>
      <c r="E41" s="75">
        <v>3160.0</v>
      </c>
      <c r="F41" s="75">
        <v>2250.0</v>
      </c>
      <c r="G41" s="75">
        <v>2960.0</v>
      </c>
      <c r="H41" s="75">
        <v>2360.0</v>
      </c>
      <c r="I41" s="75">
        <v>3160.0</v>
      </c>
      <c r="J41" s="75">
        <v>2900.0</v>
      </c>
      <c r="K41" s="75">
        <v>3500.0</v>
      </c>
      <c r="L41" s="75">
        <v>3000.0</v>
      </c>
      <c r="M41" s="75">
        <v>3700.0</v>
      </c>
    </row>
    <row r="42" ht="15.75" customHeight="1">
      <c r="A42" s="75">
        <v>2500.0</v>
      </c>
      <c r="B42" s="75">
        <v>2230.0</v>
      </c>
      <c r="C42" s="75">
        <v>2930.0</v>
      </c>
      <c r="D42" s="75">
        <v>2330.0</v>
      </c>
      <c r="E42" s="75">
        <v>3130.0</v>
      </c>
      <c r="F42" s="75">
        <v>2230.0</v>
      </c>
      <c r="G42" s="75">
        <v>2930.0</v>
      </c>
      <c r="H42" s="75">
        <v>2330.0</v>
      </c>
      <c r="I42" s="75">
        <v>3130.0</v>
      </c>
      <c r="J42" s="75">
        <v>2850.0</v>
      </c>
      <c r="K42" s="75">
        <v>3450.0</v>
      </c>
      <c r="L42" s="75">
        <v>2950.0</v>
      </c>
      <c r="M42" s="75">
        <v>3650.0</v>
      </c>
    </row>
    <row r="43" ht="15.75" customHeight="1">
      <c r="A43" s="75">
        <v>3000.0</v>
      </c>
      <c r="B43" s="75">
        <v>2200.0</v>
      </c>
      <c r="C43" s="75">
        <v>2900.0</v>
      </c>
      <c r="D43" s="75">
        <v>2300.0</v>
      </c>
      <c r="E43" s="75">
        <v>3100.0</v>
      </c>
      <c r="F43" s="75">
        <v>2200.0</v>
      </c>
      <c r="G43" s="75">
        <v>2900.0</v>
      </c>
      <c r="H43" s="75">
        <v>2300.0</v>
      </c>
      <c r="I43" s="75">
        <v>3100.0</v>
      </c>
      <c r="J43" s="75">
        <v>2800.0</v>
      </c>
      <c r="K43" s="75">
        <v>3400.0</v>
      </c>
      <c r="L43" s="75">
        <v>2900.0</v>
      </c>
      <c r="M43" s="75">
        <v>3600.0</v>
      </c>
    </row>
    <row r="44" ht="15.75" customHeight="1"/>
    <row r="45" ht="15.75" customHeight="1"/>
    <row r="46" ht="24.75" customHeight="1">
      <c r="A46" s="61" t="s">
        <v>535</v>
      </c>
    </row>
    <row r="47" ht="15.75" customHeight="1">
      <c r="A47" s="54" t="s">
        <v>527</v>
      </c>
      <c r="B47" s="1" t="s">
        <v>536</v>
      </c>
      <c r="D47" s="1" t="s">
        <v>537</v>
      </c>
    </row>
    <row r="48" ht="15.75" customHeight="1">
      <c r="A48" s="64" t="s">
        <v>538</v>
      </c>
      <c r="B48" s="2" t="s">
        <v>539</v>
      </c>
      <c r="C48" s="2" t="s">
        <v>540</v>
      </c>
      <c r="D48" s="2" t="s">
        <v>539</v>
      </c>
      <c r="E48" s="2" t="s">
        <v>540</v>
      </c>
    </row>
    <row r="49" ht="15.75" customHeight="1">
      <c r="A49" s="88">
        <v>6.0</v>
      </c>
      <c r="B49" s="83">
        <v>3000.0</v>
      </c>
      <c r="C49" s="83">
        <v>3200.0</v>
      </c>
      <c r="D49" s="83">
        <v>3000.0</v>
      </c>
      <c r="E49" s="83">
        <v>3200.0</v>
      </c>
    </row>
    <row r="50" ht="15.75" customHeight="1">
      <c r="A50" s="189">
        <v>12.0</v>
      </c>
      <c r="B50" s="189">
        <v>2300.0</v>
      </c>
      <c r="C50" s="189">
        <v>2500.0</v>
      </c>
      <c r="D50" s="189">
        <v>2300.0</v>
      </c>
      <c r="E50" s="189">
        <v>2500.0</v>
      </c>
    </row>
    <row r="51" ht="15.75" customHeight="1">
      <c r="A51" s="83">
        <v>18.0</v>
      </c>
      <c r="B51" s="83">
        <v>2200.0</v>
      </c>
      <c r="C51" s="83">
        <v>2400.0</v>
      </c>
      <c r="D51" s="83">
        <v>2200.0</v>
      </c>
      <c r="E51" s="83">
        <v>2400.0</v>
      </c>
    </row>
    <row r="52" ht="15.75" customHeight="1">
      <c r="A52" s="83">
        <v>24.0</v>
      </c>
      <c r="B52" s="83">
        <v>2100.0</v>
      </c>
      <c r="C52" s="83">
        <v>2300.0</v>
      </c>
      <c r="D52" s="83">
        <v>2100.0</v>
      </c>
      <c r="E52" s="83">
        <v>2300.0</v>
      </c>
    </row>
    <row r="53" ht="15.75" customHeight="1">
      <c r="A53" s="83">
        <v>30.0</v>
      </c>
      <c r="B53" s="83">
        <v>2000.0</v>
      </c>
      <c r="C53" s="83">
        <v>2200.0</v>
      </c>
      <c r="D53" s="83">
        <v>2000.0</v>
      </c>
      <c r="E53" s="83">
        <v>2200.0</v>
      </c>
    </row>
    <row r="54" ht="15.75" customHeight="1">
      <c r="A54" s="83">
        <v>36.0</v>
      </c>
      <c r="B54" s="83">
        <v>1900.0</v>
      </c>
      <c r="C54" s="83">
        <v>2100.0</v>
      </c>
      <c r="D54" s="83">
        <v>1900.0</v>
      </c>
      <c r="E54" s="83">
        <v>2100.0</v>
      </c>
    </row>
    <row r="55" ht="15.75" customHeight="1">
      <c r="A55" s="83">
        <v>42.0</v>
      </c>
      <c r="B55" s="83">
        <v>1800.0</v>
      </c>
      <c r="C55" s="83">
        <v>2000.0</v>
      </c>
      <c r="D55" s="83">
        <v>1800.0</v>
      </c>
      <c r="E55" s="83">
        <v>2000.0</v>
      </c>
    </row>
    <row r="56" ht="15.75" customHeight="1">
      <c r="A56" s="83">
        <v>48.0</v>
      </c>
      <c r="B56" s="83">
        <v>1700.0</v>
      </c>
      <c r="C56" s="83">
        <v>1900.0</v>
      </c>
      <c r="D56" s="83">
        <v>1700.0</v>
      </c>
      <c r="E56" s="83">
        <v>1900.0</v>
      </c>
    </row>
    <row r="57" ht="15.75" customHeight="1">
      <c r="A57" s="83">
        <v>54.0</v>
      </c>
      <c r="B57" s="83">
        <v>1600.0</v>
      </c>
      <c r="C57" s="83">
        <v>1800.0</v>
      </c>
      <c r="D57" s="83">
        <v>1600.0</v>
      </c>
      <c r="E57" s="83">
        <v>1800.0</v>
      </c>
    </row>
    <row r="58" ht="15.75" customHeight="1">
      <c r="A58" s="83">
        <v>60.0</v>
      </c>
      <c r="B58" s="83">
        <v>1500.0</v>
      </c>
      <c r="C58" s="83">
        <v>1700.0</v>
      </c>
      <c r="D58" s="83">
        <v>1500.0</v>
      </c>
      <c r="E58" s="83">
        <v>1700.0</v>
      </c>
    </row>
    <row r="59" ht="15.75" customHeight="1">
      <c r="A59" s="83">
        <v>66.0</v>
      </c>
      <c r="B59" s="83">
        <v>1400.0</v>
      </c>
      <c r="C59" s="83">
        <v>1600.0</v>
      </c>
      <c r="D59" s="83">
        <v>1400.0</v>
      </c>
      <c r="E59" s="83">
        <v>1600.0</v>
      </c>
    </row>
    <row r="60" ht="15.75" customHeight="1">
      <c r="A60" s="83">
        <v>84.0</v>
      </c>
      <c r="B60" s="83">
        <v>1350.0</v>
      </c>
      <c r="C60" s="83">
        <v>1550.0</v>
      </c>
      <c r="D60" s="83">
        <v>1350.0</v>
      </c>
      <c r="E60" s="83">
        <v>1550.0</v>
      </c>
    </row>
    <row r="61" ht="15.75" customHeight="1">
      <c r="A61" s="83">
        <v>108.0</v>
      </c>
      <c r="B61" s="83">
        <v>1300.0</v>
      </c>
      <c r="C61" s="83">
        <v>1500.0</v>
      </c>
      <c r="D61" s="83">
        <v>1300.0</v>
      </c>
      <c r="E61" s="83">
        <v>1500.0</v>
      </c>
    </row>
    <row r="62" ht="15.75" customHeight="1">
      <c r="A62" s="83">
        <v>120.0</v>
      </c>
      <c r="B62" s="83">
        <v>1250.0</v>
      </c>
      <c r="C62" s="83">
        <v>1450.0</v>
      </c>
      <c r="D62" s="83">
        <v>1250.0</v>
      </c>
      <c r="E62" s="83">
        <v>1450.0</v>
      </c>
    </row>
    <row r="63" ht="15.75" customHeight="1">
      <c r="A63" s="83">
        <v>156.0</v>
      </c>
      <c r="B63" s="83">
        <v>1200.0</v>
      </c>
      <c r="C63" s="83">
        <v>1400.0</v>
      </c>
      <c r="D63" s="83">
        <v>1200.0</v>
      </c>
      <c r="E63" s="83">
        <v>1400.0</v>
      </c>
    </row>
    <row r="64" ht="15.75" customHeight="1">
      <c r="A64" s="83">
        <v>180.0</v>
      </c>
      <c r="B64" s="83">
        <v>1150.0</v>
      </c>
      <c r="C64" s="83">
        <v>1350.0</v>
      </c>
      <c r="D64" s="83">
        <v>1150.0</v>
      </c>
      <c r="E64" s="83">
        <v>1350.0</v>
      </c>
    </row>
    <row r="65" ht="15.75" customHeight="1">
      <c r="A65" s="83">
        <v>204.0</v>
      </c>
      <c r="B65" s="83">
        <v>1100.0</v>
      </c>
      <c r="C65" s="83">
        <v>1300.0</v>
      </c>
      <c r="D65" s="83">
        <v>1100.0</v>
      </c>
      <c r="E65" s="83">
        <v>1300.0</v>
      </c>
    </row>
    <row r="66" ht="15.75" customHeight="1">
      <c r="A66" s="83">
        <v>240.0</v>
      </c>
      <c r="B66" s="83">
        <v>1100.0</v>
      </c>
      <c r="C66" s="83">
        <v>1300.0</v>
      </c>
      <c r="D66" s="83">
        <v>1100.0</v>
      </c>
      <c r="E66" s="83">
        <v>1300.0</v>
      </c>
    </row>
    <row r="67" ht="15.75" customHeight="1">
      <c r="A67" s="83">
        <v>264.0</v>
      </c>
      <c r="B67" s="83">
        <v>1100.0</v>
      </c>
      <c r="C67" s="83">
        <v>1300.0</v>
      </c>
      <c r="D67" s="83">
        <v>1100.0</v>
      </c>
      <c r="E67" s="83">
        <v>1300.0</v>
      </c>
    </row>
    <row r="68" ht="15.75" customHeight="1">
      <c r="A68" s="83">
        <v>300.0</v>
      </c>
      <c r="B68" s="83">
        <v>1050.0</v>
      </c>
      <c r="C68" s="83">
        <v>1250.0</v>
      </c>
      <c r="D68" s="83">
        <v>1050.0</v>
      </c>
      <c r="E68" s="83">
        <v>1250.0</v>
      </c>
    </row>
    <row r="69" ht="15.75" customHeight="1">
      <c r="A69" s="83">
        <v>324.0</v>
      </c>
      <c r="B69" s="83">
        <v>1000.0</v>
      </c>
      <c r="C69" s="83">
        <v>1200.0</v>
      </c>
      <c r="D69" s="83">
        <v>1000.0</v>
      </c>
      <c r="E69" s="83">
        <v>1200.0</v>
      </c>
    </row>
    <row r="70" ht="15.75" customHeight="1">
      <c r="A70" s="83">
        <v>360.0</v>
      </c>
      <c r="B70" s="83">
        <v>1000.0</v>
      </c>
      <c r="C70" s="83">
        <v>1200.0</v>
      </c>
      <c r="D70" s="83">
        <v>1000.0</v>
      </c>
      <c r="E70" s="83">
        <v>1200.0</v>
      </c>
    </row>
    <row r="71" ht="15.75" customHeight="1">
      <c r="A71" s="83">
        <v>396.0</v>
      </c>
      <c r="B71" s="83">
        <v>1000.0</v>
      </c>
      <c r="C71" s="83">
        <v>1200.0</v>
      </c>
      <c r="D71" s="83">
        <v>1000.0</v>
      </c>
      <c r="E71" s="83">
        <v>1200.0</v>
      </c>
    </row>
    <row r="72" ht="15.75" customHeight="1">
      <c r="A72" s="83">
        <v>420.0</v>
      </c>
      <c r="B72" s="83">
        <v>950.0</v>
      </c>
      <c r="C72" s="83">
        <v>1150.0</v>
      </c>
      <c r="D72" s="83">
        <v>950.0</v>
      </c>
      <c r="E72" s="83">
        <v>1150.0</v>
      </c>
    </row>
    <row r="73" ht="15.75" customHeight="1">
      <c r="A73" s="83">
        <v>456.0</v>
      </c>
      <c r="B73" s="83">
        <v>950.0</v>
      </c>
      <c r="C73" s="83">
        <v>1150.0</v>
      </c>
      <c r="D73" s="83">
        <v>950.0</v>
      </c>
      <c r="E73" s="83">
        <v>1150.0</v>
      </c>
    </row>
    <row r="74" ht="15.75" customHeight="1">
      <c r="A74" s="83">
        <v>504.0</v>
      </c>
      <c r="B74" s="83">
        <v>900.0</v>
      </c>
      <c r="C74" s="83">
        <v>1100.0</v>
      </c>
      <c r="D74" s="83">
        <v>900.0</v>
      </c>
      <c r="E74" s="83">
        <v>1100.0</v>
      </c>
    </row>
    <row r="75" ht="15.75" customHeight="1">
      <c r="A75" s="83">
        <v>540.0</v>
      </c>
      <c r="B75" s="83">
        <v>900.0</v>
      </c>
      <c r="C75" s="83">
        <v>1100.0</v>
      </c>
      <c r="D75" s="83">
        <v>900.0</v>
      </c>
      <c r="E75" s="83">
        <v>1100.0</v>
      </c>
    </row>
    <row r="76" ht="15.75" customHeight="1">
      <c r="A76" s="83">
        <v>600.0</v>
      </c>
      <c r="B76" s="83">
        <v>850.0</v>
      </c>
      <c r="C76" s="83">
        <v>1050.0</v>
      </c>
      <c r="D76" s="83">
        <v>850.0</v>
      </c>
      <c r="E76" s="83">
        <v>1050.0</v>
      </c>
    </row>
    <row r="77" ht="15.75" customHeight="1">
      <c r="A77" s="190"/>
    </row>
    <row r="78" ht="15.75" customHeight="1">
      <c r="A78" s="190"/>
    </row>
    <row r="79" ht="15.75" customHeight="1">
      <c r="A79" s="190"/>
    </row>
    <row r="80" ht="15.75" customHeight="1">
      <c r="A80" s="190"/>
    </row>
    <row r="81" ht="15.75" customHeight="1">
      <c r="A81" s="190"/>
    </row>
    <row r="82" ht="15.75" customHeight="1">
      <c r="A82" s="190"/>
    </row>
    <row r="83" ht="15.75" customHeight="1">
      <c r="A83" s="190"/>
    </row>
    <row r="84" ht="15.75" customHeight="1">
      <c r="A84" s="190"/>
    </row>
    <row r="85" ht="15.75" customHeight="1">
      <c r="A85" s="190"/>
    </row>
    <row r="86" ht="15.75" customHeight="1">
      <c r="A86" s="190"/>
    </row>
    <row r="87" ht="15.75" customHeight="1">
      <c r="A87" s="190"/>
    </row>
    <row r="88" ht="15.75" customHeight="1">
      <c r="A88" s="190"/>
    </row>
    <row r="89" ht="15.75" customHeight="1">
      <c r="A89" s="190"/>
    </row>
    <row r="90" ht="15.75" customHeight="1">
      <c r="A90" s="190"/>
    </row>
    <row r="91" ht="15.75" customHeight="1">
      <c r="A91" s="190"/>
    </row>
    <row r="92" ht="15.75" customHeight="1">
      <c r="A92" s="190"/>
    </row>
    <row r="93" ht="15.75" customHeight="1">
      <c r="A93" s="190"/>
    </row>
    <row r="94" ht="15.75" customHeight="1">
      <c r="A94" s="190"/>
    </row>
    <row r="95" ht="15.75" customHeight="1">
      <c r="A95" s="190"/>
    </row>
    <row r="96" ht="15.75" customHeight="1">
      <c r="A96" s="190"/>
    </row>
    <row r="97" ht="15.75" customHeight="1">
      <c r="A97" s="190"/>
    </row>
    <row r="98" ht="15.75" customHeight="1">
      <c r="A98" s="190"/>
    </row>
    <row r="99" ht="15.75" customHeight="1">
      <c r="A99" s="190"/>
    </row>
    <row r="100" ht="15.75" customHeight="1">
      <c r="A100" s="190"/>
    </row>
    <row r="101" ht="15.75" customHeight="1">
      <c r="A101" s="190"/>
    </row>
    <row r="102" ht="15.75" customHeight="1">
      <c r="A102" s="190"/>
    </row>
    <row r="103" ht="15.75" customHeight="1">
      <c r="A103" s="190"/>
    </row>
    <row r="104" ht="15.75" customHeight="1">
      <c r="A104" s="190"/>
    </row>
    <row r="105" ht="15.75" customHeight="1">
      <c r="A105" s="190"/>
    </row>
    <row r="106" ht="15.75" customHeight="1">
      <c r="A106" s="190"/>
    </row>
    <row r="107" ht="15.75" customHeight="1">
      <c r="A107" s="190"/>
    </row>
    <row r="108" ht="15.75" customHeight="1">
      <c r="A108" s="190"/>
    </row>
    <row r="109" ht="15.75" customHeight="1">
      <c r="A109" s="190"/>
    </row>
    <row r="110" ht="15.75" customHeight="1">
      <c r="A110" s="190"/>
    </row>
    <row r="111" ht="15.75" customHeight="1">
      <c r="A111" s="190"/>
    </row>
    <row r="112" ht="15.75" customHeight="1">
      <c r="A112" s="190"/>
    </row>
    <row r="113" ht="15.75" customHeight="1">
      <c r="A113" s="190"/>
    </row>
    <row r="114" ht="15.75" customHeight="1">
      <c r="A114" s="190"/>
    </row>
    <row r="115" ht="15.75" customHeight="1">
      <c r="A115" s="190"/>
    </row>
    <row r="116" ht="15.75" customHeight="1">
      <c r="A116" s="190"/>
    </row>
    <row r="117" ht="15.75" customHeight="1">
      <c r="A117" s="190"/>
    </row>
    <row r="118" ht="15.75" customHeight="1">
      <c r="A118" s="190"/>
    </row>
    <row r="119" ht="15.75" customHeight="1">
      <c r="A119" s="190"/>
    </row>
    <row r="120" ht="15.75" customHeight="1">
      <c r="A120" s="190"/>
    </row>
    <row r="121" ht="15.75" customHeight="1">
      <c r="A121" s="190"/>
    </row>
    <row r="122" ht="15.75" customHeight="1">
      <c r="A122" s="190"/>
    </row>
    <row r="123" ht="15.75" customHeight="1">
      <c r="A123" s="190"/>
    </row>
    <row r="124" ht="15.75" customHeight="1">
      <c r="A124" s="190"/>
    </row>
    <row r="125" ht="15.75" customHeight="1">
      <c r="A125" s="190"/>
    </row>
    <row r="126" ht="15.75" customHeight="1">
      <c r="A126" s="190"/>
    </row>
    <row r="127" ht="15.75" customHeight="1">
      <c r="A127" s="190"/>
    </row>
    <row r="128" ht="15.75" customHeight="1">
      <c r="A128" s="190"/>
    </row>
    <row r="129" ht="15.75" customHeight="1">
      <c r="A129" s="190"/>
    </row>
    <row r="130" ht="15.75" customHeight="1">
      <c r="A130" s="190"/>
    </row>
    <row r="131" ht="15.75" customHeight="1">
      <c r="A131" s="190"/>
    </row>
    <row r="132" ht="15.75" customHeight="1">
      <c r="A132" s="190"/>
    </row>
    <row r="133" ht="15.75" customHeight="1">
      <c r="A133" s="190"/>
    </row>
    <row r="134" ht="15.75" customHeight="1">
      <c r="A134" s="190"/>
    </row>
    <row r="135" ht="15.75" customHeight="1">
      <c r="A135" s="190"/>
    </row>
    <row r="136" ht="15.75" customHeight="1">
      <c r="A136" s="190"/>
    </row>
    <row r="137" ht="15.75" customHeight="1">
      <c r="A137" s="190"/>
    </row>
    <row r="138" ht="15.75" customHeight="1">
      <c r="A138" s="190"/>
    </row>
    <row r="139" ht="15.75" customHeight="1">
      <c r="A139" s="190"/>
    </row>
    <row r="140" ht="15.75" customHeight="1">
      <c r="A140" s="190"/>
    </row>
    <row r="141" ht="15.75" customHeight="1">
      <c r="A141" s="190"/>
    </row>
    <row r="142" ht="15.75" customHeight="1">
      <c r="A142" s="190"/>
    </row>
    <row r="143" ht="15.75" customHeight="1">
      <c r="A143" s="190"/>
    </row>
    <row r="144" ht="15.75" customHeight="1">
      <c r="A144" s="190"/>
    </row>
    <row r="145" ht="15.75" customHeight="1">
      <c r="A145" s="190"/>
    </row>
    <row r="146" ht="15.75" customHeight="1">
      <c r="A146" s="190"/>
    </row>
    <row r="147" ht="15.75" customHeight="1">
      <c r="A147" s="190"/>
    </row>
    <row r="148" ht="15.75" customHeight="1">
      <c r="A148" s="190"/>
    </row>
    <row r="149" ht="15.75" customHeight="1">
      <c r="A149" s="190"/>
    </row>
    <row r="150" ht="15.75" customHeight="1">
      <c r="A150" s="190"/>
    </row>
    <row r="151" ht="15.75" customHeight="1">
      <c r="A151" s="190"/>
    </row>
    <row r="152" ht="15.75" customHeight="1">
      <c r="A152" s="190"/>
    </row>
    <row r="153" ht="15.75" customHeight="1">
      <c r="A153" s="190"/>
    </row>
    <row r="154" ht="15.75" customHeight="1">
      <c r="A154" s="190"/>
    </row>
    <row r="155" ht="15.75" customHeight="1">
      <c r="A155" s="190"/>
    </row>
    <row r="156" ht="15.75" customHeight="1">
      <c r="A156" s="190"/>
    </row>
    <row r="157" ht="15.75" customHeight="1">
      <c r="A157" s="190"/>
    </row>
    <row r="158" ht="15.75" customHeight="1">
      <c r="A158" s="190"/>
    </row>
    <row r="159" ht="15.75" customHeight="1">
      <c r="A159" s="190"/>
    </row>
    <row r="160" ht="15.75" customHeight="1">
      <c r="A160" s="190"/>
    </row>
    <row r="161" ht="15.75" customHeight="1">
      <c r="A161" s="190"/>
    </row>
    <row r="162" ht="15.75" customHeight="1">
      <c r="A162" s="190"/>
    </row>
    <row r="163" ht="15.75" customHeight="1">
      <c r="A163" s="190"/>
    </row>
    <row r="164" ht="15.75" customHeight="1">
      <c r="A164" s="190"/>
    </row>
    <row r="165" ht="15.75" customHeight="1">
      <c r="A165" s="190"/>
    </row>
    <row r="166" ht="15.75" customHeight="1">
      <c r="A166" s="190"/>
    </row>
    <row r="167" ht="15.75" customHeight="1">
      <c r="A167" s="190"/>
    </row>
    <row r="168" ht="15.75" customHeight="1">
      <c r="A168" s="190"/>
    </row>
    <row r="169" ht="15.75" customHeight="1">
      <c r="A169" s="190"/>
    </row>
    <row r="170" ht="15.75" customHeight="1">
      <c r="A170" s="190"/>
    </row>
    <row r="171" ht="15.75" customHeight="1">
      <c r="A171" s="190"/>
    </row>
    <row r="172" ht="15.75" customHeight="1">
      <c r="A172" s="190"/>
    </row>
    <row r="173" ht="15.75" customHeight="1">
      <c r="A173" s="190"/>
    </row>
    <row r="174" ht="15.75" customHeight="1">
      <c r="A174" s="190"/>
    </row>
    <row r="175" ht="15.75" customHeight="1">
      <c r="A175" s="190"/>
    </row>
    <row r="176" ht="15.75" customHeight="1">
      <c r="A176" s="190"/>
    </row>
    <row r="177" ht="15.75" customHeight="1">
      <c r="A177" s="190"/>
    </row>
    <row r="178" ht="15.75" customHeight="1">
      <c r="A178" s="190"/>
    </row>
    <row r="179" ht="15.75" customHeight="1">
      <c r="A179" s="190"/>
    </row>
    <row r="180" ht="15.75" customHeight="1">
      <c r="A180" s="190"/>
    </row>
    <row r="181" ht="15.75" customHeight="1">
      <c r="A181" s="190"/>
    </row>
    <row r="182" ht="15.75" customHeight="1">
      <c r="A182" s="190"/>
    </row>
    <row r="183" ht="15.75" customHeight="1">
      <c r="A183" s="190"/>
    </row>
    <row r="184" ht="15.75" customHeight="1">
      <c r="A184" s="190"/>
    </row>
    <row r="185" ht="15.75" customHeight="1">
      <c r="A185" s="190"/>
    </row>
    <row r="186" ht="15.75" customHeight="1">
      <c r="A186" s="190"/>
    </row>
    <row r="187" ht="15.75" customHeight="1">
      <c r="A187" s="190"/>
    </row>
    <row r="188" ht="15.75" customHeight="1">
      <c r="A188" s="190"/>
    </row>
    <row r="189" ht="15.75" customHeight="1">
      <c r="A189" s="190"/>
    </row>
    <row r="190" ht="15.75" customHeight="1">
      <c r="A190" s="190"/>
    </row>
    <row r="191" ht="15.75" customHeight="1">
      <c r="A191" s="190"/>
    </row>
    <row r="192" ht="15.75" customHeight="1">
      <c r="A192" s="190"/>
    </row>
    <row r="193" ht="15.75" customHeight="1">
      <c r="A193" s="190"/>
    </row>
    <row r="194" ht="15.75" customHeight="1">
      <c r="A194" s="190"/>
    </row>
    <row r="195" ht="15.75" customHeight="1">
      <c r="A195" s="190"/>
    </row>
    <row r="196" ht="15.75" customHeight="1">
      <c r="A196" s="190"/>
    </row>
    <row r="197" ht="15.75" customHeight="1">
      <c r="A197" s="190"/>
    </row>
    <row r="198" ht="15.75" customHeight="1">
      <c r="A198" s="190"/>
    </row>
    <row r="199" ht="15.75" customHeight="1">
      <c r="A199" s="190"/>
    </row>
    <row r="200" ht="15.75" customHeight="1">
      <c r="A200" s="190"/>
    </row>
    <row r="201" ht="15.75" customHeight="1">
      <c r="A201" s="190"/>
    </row>
    <row r="202" ht="15.75" customHeight="1">
      <c r="A202" s="190"/>
    </row>
    <row r="203" ht="15.75" customHeight="1">
      <c r="A203" s="190"/>
    </row>
    <row r="204" ht="15.75" customHeight="1">
      <c r="A204" s="190"/>
    </row>
    <row r="205" ht="15.75" customHeight="1">
      <c r="A205" s="190"/>
    </row>
    <row r="206" ht="15.75" customHeight="1">
      <c r="A206" s="190"/>
    </row>
    <row r="207" ht="15.75" customHeight="1">
      <c r="A207" s="190"/>
    </row>
    <row r="208" ht="15.75" customHeight="1">
      <c r="A208" s="190"/>
    </row>
    <row r="209" ht="15.75" customHeight="1">
      <c r="A209" s="190"/>
    </row>
    <row r="210" ht="15.75" customHeight="1">
      <c r="A210" s="190"/>
    </row>
    <row r="211" ht="15.75" customHeight="1">
      <c r="A211" s="190"/>
    </row>
    <row r="212" ht="15.75" customHeight="1">
      <c r="A212" s="190"/>
    </row>
    <row r="213" ht="15.75" customHeight="1">
      <c r="A213" s="190"/>
    </row>
    <row r="214" ht="15.75" customHeight="1">
      <c r="A214" s="190"/>
    </row>
    <row r="215" ht="15.75" customHeight="1">
      <c r="A215" s="190"/>
    </row>
    <row r="216" ht="15.75" customHeight="1">
      <c r="A216" s="190"/>
    </row>
    <row r="217" ht="15.75" customHeight="1">
      <c r="A217" s="190"/>
    </row>
    <row r="218" ht="15.75" customHeight="1">
      <c r="A218" s="190"/>
    </row>
    <row r="219" ht="15.75" customHeight="1">
      <c r="A219" s="190"/>
    </row>
    <row r="220" ht="15.75" customHeight="1">
      <c r="A220" s="190"/>
    </row>
    <row r="221" ht="15.75" customHeight="1">
      <c r="A221" s="190"/>
    </row>
    <row r="222" ht="15.75" customHeight="1">
      <c r="A222" s="190"/>
    </row>
    <row r="223" ht="15.75" customHeight="1">
      <c r="A223" s="190"/>
    </row>
    <row r="224" ht="15.75" customHeight="1">
      <c r="A224" s="190"/>
    </row>
    <row r="225" ht="15.75" customHeight="1">
      <c r="A225" s="190"/>
    </row>
    <row r="226" ht="15.75" customHeight="1">
      <c r="A226" s="190"/>
    </row>
    <row r="227" ht="15.75" customHeight="1">
      <c r="A227" s="190"/>
    </row>
    <row r="228" ht="15.75" customHeight="1">
      <c r="A228" s="190"/>
    </row>
    <row r="229" ht="15.75" customHeight="1">
      <c r="A229" s="190"/>
    </row>
    <row r="230" ht="15.75" customHeight="1">
      <c r="A230" s="190"/>
    </row>
    <row r="231" ht="15.75" customHeight="1">
      <c r="A231" s="190"/>
    </row>
    <row r="232" ht="15.75" customHeight="1">
      <c r="A232" s="190"/>
    </row>
    <row r="233" ht="15.75" customHeight="1">
      <c r="A233" s="190"/>
    </row>
    <row r="234" ht="15.75" customHeight="1">
      <c r="A234" s="190"/>
    </row>
    <row r="235" ht="15.75" customHeight="1">
      <c r="A235" s="190"/>
    </row>
    <row r="236" ht="15.75" customHeight="1">
      <c r="A236" s="190"/>
    </row>
    <row r="237" ht="15.75" customHeight="1">
      <c r="A237" s="190"/>
    </row>
    <row r="238" ht="15.75" customHeight="1">
      <c r="A238" s="190"/>
    </row>
    <row r="239" ht="15.75" customHeight="1">
      <c r="A239" s="190"/>
    </row>
    <row r="240" ht="15.75" customHeight="1">
      <c r="A240" s="190"/>
    </row>
    <row r="241" ht="15.75" customHeight="1">
      <c r="A241" s="190"/>
    </row>
    <row r="242" ht="15.75" customHeight="1">
      <c r="A242" s="190"/>
    </row>
    <row r="243" ht="15.75" customHeight="1">
      <c r="A243" s="190"/>
    </row>
    <row r="244" ht="15.75" customHeight="1">
      <c r="A244" s="190"/>
    </row>
    <row r="245" ht="15.75" customHeight="1">
      <c r="A245" s="190"/>
    </row>
    <row r="246" ht="15.75" customHeight="1">
      <c r="A246" s="190"/>
    </row>
    <row r="247" ht="15.75" customHeight="1">
      <c r="A247" s="190"/>
    </row>
    <row r="248" ht="15.75" customHeight="1">
      <c r="A248" s="190"/>
    </row>
    <row r="249" ht="15.75" customHeight="1">
      <c r="A249" s="190"/>
    </row>
    <row r="250" ht="15.75" customHeight="1">
      <c r="A250" s="190"/>
    </row>
    <row r="251" ht="15.75" customHeight="1">
      <c r="A251" s="190"/>
    </row>
    <row r="252" ht="15.75" customHeight="1">
      <c r="A252" s="190"/>
    </row>
    <row r="253" ht="15.75" customHeight="1">
      <c r="A253" s="190"/>
    </row>
    <row r="254" ht="15.75" customHeight="1">
      <c r="A254" s="190"/>
    </row>
    <row r="255" ht="15.75" customHeight="1">
      <c r="A255" s="190"/>
    </row>
    <row r="256" ht="15.75" customHeight="1">
      <c r="A256" s="190"/>
    </row>
    <row r="257" ht="15.75" customHeight="1">
      <c r="A257" s="190"/>
    </row>
    <row r="258" ht="15.75" customHeight="1">
      <c r="A258" s="190"/>
    </row>
    <row r="259" ht="15.75" customHeight="1">
      <c r="A259" s="190"/>
    </row>
    <row r="260" ht="15.75" customHeight="1">
      <c r="A260" s="190"/>
    </row>
    <row r="261" ht="15.75" customHeight="1">
      <c r="A261" s="190"/>
    </row>
    <row r="262" ht="15.75" customHeight="1">
      <c r="A262" s="190"/>
    </row>
    <row r="263" ht="15.75" customHeight="1">
      <c r="A263" s="190"/>
    </row>
    <row r="264" ht="15.75" customHeight="1">
      <c r="A264" s="190"/>
    </row>
    <row r="265" ht="15.75" customHeight="1">
      <c r="A265" s="190"/>
    </row>
    <row r="266" ht="15.75" customHeight="1">
      <c r="A266" s="190"/>
    </row>
    <row r="267" ht="15.75" customHeight="1">
      <c r="A267" s="190"/>
    </row>
    <row r="268" ht="15.75" customHeight="1">
      <c r="A268" s="190"/>
    </row>
    <row r="269" ht="15.75" customHeight="1">
      <c r="A269" s="190"/>
    </row>
    <row r="270" ht="15.75" customHeight="1">
      <c r="A270" s="190"/>
    </row>
    <row r="271" ht="15.75" customHeight="1">
      <c r="A271" s="190"/>
    </row>
    <row r="272" ht="15.75" customHeight="1">
      <c r="A272" s="190"/>
    </row>
    <row r="273" ht="15.75" customHeight="1">
      <c r="A273" s="190"/>
    </row>
    <row r="274" ht="15.75" customHeight="1">
      <c r="A274" s="190"/>
    </row>
    <row r="275" ht="15.75" customHeight="1">
      <c r="A275" s="190"/>
    </row>
    <row r="276" ht="15.75" customHeight="1">
      <c r="A276" s="190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3">
    <mergeCell ref="H3:I3"/>
    <mergeCell ref="J3:K3"/>
    <mergeCell ref="A46:E46"/>
    <mergeCell ref="B47:C47"/>
    <mergeCell ref="D47:E47"/>
    <mergeCell ref="A1:M1"/>
    <mergeCell ref="B2:E2"/>
    <mergeCell ref="F2:I2"/>
    <mergeCell ref="J2:M2"/>
    <mergeCell ref="B3:C3"/>
    <mergeCell ref="D3:E3"/>
    <mergeCell ref="F3:G3"/>
    <mergeCell ref="L3:M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1.13"/>
    <col customWidth="1" min="2" max="2" width="14.38"/>
    <col customWidth="1" min="3" max="4" width="16.38"/>
    <col customWidth="1" min="5" max="5" width="16.5"/>
    <col customWidth="1" min="6" max="6" width="12.63"/>
  </cols>
  <sheetData>
    <row r="1" ht="19.5" customHeight="1">
      <c r="A1" s="61" t="s">
        <v>541</v>
      </c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</row>
    <row r="2" ht="15.75" customHeight="1">
      <c r="A2" s="192" t="s">
        <v>542</v>
      </c>
      <c r="B2" s="193" t="s">
        <v>543</v>
      </c>
      <c r="C2" s="193" t="s">
        <v>544</v>
      </c>
      <c r="D2" s="193" t="s">
        <v>545</v>
      </c>
      <c r="E2" s="193" t="s">
        <v>546</v>
      </c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</row>
    <row r="3" ht="15.75" customHeight="1" outlineLevel="1">
      <c r="A3" s="96">
        <v>1.0</v>
      </c>
      <c r="B3" s="96">
        <v>3000.0</v>
      </c>
      <c r="C3" s="96">
        <v>3000.0</v>
      </c>
      <c r="D3" s="96">
        <v>4000.0</v>
      </c>
      <c r="E3" s="96">
        <v>5000.0</v>
      </c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</row>
    <row r="4" ht="15.75" customHeight="1" outlineLevel="1">
      <c r="A4" s="96">
        <v>4.0</v>
      </c>
      <c r="B4" s="96">
        <v>2000.0</v>
      </c>
      <c r="C4" s="96">
        <v>2000.0</v>
      </c>
      <c r="D4" s="96">
        <v>3000.0</v>
      </c>
      <c r="E4" s="96">
        <v>5000.0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</row>
    <row r="5" ht="15.75" customHeight="1" outlineLevel="1">
      <c r="A5" s="96">
        <v>10.0</v>
      </c>
      <c r="B5" s="96">
        <v>1500.0</v>
      </c>
      <c r="C5" s="96">
        <v>1000.0</v>
      </c>
      <c r="D5" s="96">
        <v>2000.0</v>
      </c>
      <c r="E5" s="96">
        <v>5000.0</v>
      </c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</row>
    <row r="6" ht="15.75" customHeight="1" outlineLevel="1">
      <c r="A6" s="96">
        <v>30.0</v>
      </c>
      <c r="B6" s="96">
        <v>1000.0</v>
      </c>
      <c r="C6" s="96">
        <v>700.0</v>
      </c>
      <c r="D6" s="96">
        <v>1500.0</v>
      </c>
      <c r="E6" s="96">
        <v>4000.0</v>
      </c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</row>
    <row r="7" ht="15.75" customHeight="1" outlineLevel="1">
      <c r="A7" s="96">
        <v>50.0</v>
      </c>
      <c r="B7" s="96">
        <v>1000.0</v>
      </c>
      <c r="C7" s="96">
        <v>700.0</v>
      </c>
      <c r="D7" s="96">
        <v>1500.0</v>
      </c>
      <c r="E7" s="96">
        <v>3000.0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</row>
    <row r="8" ht="15.75" customHeight="1" outlineLevel="1">
      <c r="A8" s="96">
        <v>70.0</v>
      </c>
      <c r="B8" s="96">
        <v>700.0</v>
      </c>
      <c r="C8" s="96">
        <v>500.0</v>
      </c>
      <c r="D8" s="96">
        <v>1300.0</v>
      </c>
      <c r="E8" s="96">
        <v>2500.0</v>
      </c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</row>
    <row r="9" ht="15.75" customHeight="1" outlineLevel="1">
      <c r="A9" s="96">
        <v>100.0</v>
      </c>
      <c r="B9" s="96">
        <v>700.0</v>
      </c>
      <c r="C9" s="96">
        <v>500.0</v>
      </c>
      <c r="D9" s="96">
        <v>1300.0</v>
      </c>
      <c r="E9" s="96">
        <v>2000.0</v>
      </c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</row>
    <row r="10" ht="15.75" customHeight="1" outlineLevel="1">
      <c r="A10" s="96">
        <v>1000.0</v>
      </c>
      <c r="B10" s="96">
        <v>500.0</v>
      </c>
      <c r="C10" s="96">
        <v>500.0</v>
      </c>
      <c r="D10" s="96">
        <v>1000.0</v>
      </c>
      <c r="E10" s="96">
        <v>1500.0</v>
      </c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</row>
    <row r="11" ht="15.75" customHeight="1" outlineLevel="1">
      <c r="A11" s="191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</row>
    <row r="12" ht="15.75" customHeight="1" outlineLevel="1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</row>
    <row r="13" ht="15.75" customHeight="1" outlineLevel="1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</row>
    <row r="14" ht="23.25" customHeight="1" outlineLevel="1">
      <c r="A14" s="61" t="s">
        <v>547</v>
      </c>
      <c r="E14" s="194" t="s">
        <v>548</v>
      </c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</row>
    <row r="15" ht="15.75" customHeight="1">
      <c r="A15" s="192" t="s">
        <v>542</v>
      </c>
      <c r="B15" s="193" t="s">
        <v>549</v>
      </c>
      <c r="C15" s="193" t="s">
        <v>550</v>
      </c>
      <c r="D15" s="193" t="s">
        <v>551</v>
      </c>
      <c r="E15" s="195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</row>
    <row r="16" ht="15.75" customHeight="1" outlineLevel="1">
      <c r="A16" s="96">
        <v>1.0</v>
      </c>
      <c r="B16" s="96">
        <v>30000.0</v>
      </c>
      <c r="C16" s="96">
        <v>30000.0</v>
      </c>
      <c r="D16" s="96">
        <v>30000.0</v>
      </c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</row>
    <row r="17" ht="15.75" customHeight="1" outlineLevel="1">
      <c r="A17" s="96">
        <v>4.0</v>
      </c>
      <c r="B17" s="96">
        <v>20000.0</v>
      </c>
      <c r="C17" s="96">
        <v>20000.0</v>
      </c>
      <c r="D17" s="96">
        <v>25000.0</v>
      </c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</row>
    <row r="18" ht="15.75" customHeight="1" outlineLevel="1">
      <c r="A18" s="96">
        <v>10.0</v>
      </c>
      <c r="B18" s="96">
        <v>14000.0</v>
      </c>
      <c r="C18" s="96">
        <v>15000.0</v>
      </c>
      <c r="D18" s="96">
        <v>20000.0</v>
      </c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</row>
    <row r="19" ht="15.75" customHeight="1" outlineLevel="1">
      <c r="A19" s="96">
        <v>50.0</v>
      </c>
      <c r="B19" s="96">
        <v>9000.0</v>
      </c>
      <c r="C19" s="96">
        <v>10000.0</v>
      </c>
      <c r="D19" s="96">
        <v>15000.0</v>
      </c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</row>
    <row r="20" ht="15.75" customHeight="1" outlineLevel="1">
      <c r="A20" s="96">
        <v>100.0</v>
      </c>
      <c r="B20" s="96">
        <v>7000.0</v>
      </c>
      <c r="C20" s="96">
        <v>8000.0</v>
      </c>
      <c r="D20" s="96">
        <v>9000.0</v>
      </c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</row>
    <row r="21" ht="15.75" customHeight="1" outlineLevel="1">
      <c r="A21" s="96">
        <v>1000.0</v>
      </c>
      <c r="B21" s="96">
        <v>6000.0</v>
      </c>
      <c r="C21" s="96">
        <v>7000.0</v>
      </c>
      <c r="D21" s="96">
        <v>7000.0</v>
      </c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</row>
    <row r="22" ht="15.75" customHeight="1" outlineLevel="1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</row>
    <row r="23" ht="15.75" customHeight="1" outlineLevel="1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</row>
    <row r="24" ht="15.75" customHeight="1" outlineLevel="1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</row>
    <row r="25" ht="22.5" customHeight="1" outlineLevel="1">
      <c r="A25" s="61" t="s">
        <v>552</v>
      </c>
      <c r="F25" s="196" t="s">
        <v>553</v>
      </c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</row>
    <row r="26" ht="15.75" customHeight="1">
      <c r="A26" s="192" t="s">
        <v>542</v>
      </c>
      <c r="B26" s="197" t="s">
        <v>554</v>
      </c>
      <c r="C26" s="197" t="s">
        <v>555</v>
      </c>
      <c r="D26" s="197" t="s">
        <v>556</v>
      </c>
      <c r="E26" s="197" t="s">
        <v>557</v>
      </c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</row>
    <row r="27" ht="15.75" customHeight="1" outlineLevel="1">
      <c r="A27" s="96">
        <v>1.0</v>
      </c>
      <c r="B27" s="125">
        <v>5000.0</v>
      </c>
      <c r="C27" s="125">
        <v>5000.0</v>
      </c>
      <c r="D27" s="125">
        <v>5000.0</v>
      </c>
      <c r="E27" s="198">
        <v>4500.0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</row>
    <row r="28" ht="15.75" customHeight="1" outlineLevel="1">
      <c r="A28" s="96">
        <v>4.0</v>
      </c>
      <c r="B28" s="125">
        <v>4000.0</v>
      </c>
      <c r="C28" s="125">
        <v>4000.0</v>
      </c>
      <c r="D28" s="125">
        <v>4000.0</v>
      </c>
      <c r="E28" s="198">
        <v>3500.0</v>
      </c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</row>
    <row r="29" ht="15.75" customHeight="1" outlineLevel="1">
      <c r="A29" s="96">
        <v>10.0</v>
      </c>
      <c r="B29" s="125">
        <v>3000.0</v>
      </c>
      <c r="C29" s="125">
        <v>3000.0</v>
      </c>
      <c r="D29" s="125">
        <v>3000.0</v>
      </c>
      <c r="E29" s="198">
        <v>2500.0</v>
      </c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</row>
    <row r="30" ht="15.75" customHeight="1" outlineLevel="1">
      <c r="A30" s="96">
        <v>50.0</v>
      </c>
      <c r="B30" s="125">
        <v>2500.0</v>
      </c>
      <c r="C30" s="125">
        <v>2500.0</v>
      </c>
      <c r="D30" s="125">
        <v>2500.0</v>
      </c>
      <c r="E30" s="198">
        <v>2000.0</v>
      </c>
      <c r="F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</row>
    <row r="31" ht="15.75" customHeight="1" outlineLevel="1">
      <c r="A31" s="96">
        <v>100.0</v>
      </c>
      <c r="B31" s="125">
        <v>2000.0</v>
      </c>
      <c r="C31" s="125">
        <v>2300.0</v>
      </c>
      <c r="D31" s="125">
        <v>2300.0</v>
      </c>
      <c r="E31" s="198">
        <v>1800.0</v>
      </c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</row>
    <row r="32" ht="15.75" customHeight="1" outlineLevel="1">
      <c r="A32" s="96">
        <v>1000.0</v>
      </c>
      <c r="B32" s="125">
        <v>2000.0</v>
      </c>
      <c r="C32" s="125">
        <v>2000.0</v>
      </c>
      <c r="D32" s="125">
        <v>2000.0</v>
      </c>
      <c r="E32" s="198">
        <v>1600.0</v>
      </c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</row>
    <row r="33" ht="15.75" customHeight="1" outlineLevel="1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</row>
    <row r="34" ht="15.75" customHeight="1" outlineLevel="1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</row>
    <row r="35" ht="15.75" customHeight="1">
      <c r="A35" s="191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</row>
    <row r="36" ht="15.75" customHeight="1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</row>
    <row r="37" ht="15.75" customHeight="1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</row>
    <row r="38" ht="15.75" customHeight="1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</row>
    <row r="39" ht="15.75" customHeight="1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</row>
    <row r="40" ht="15.75" customHeight="1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</row>
    <row r="41" ht="15.75" customHeight="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</row>
    <row r="42" ht="15.75" customHeight="1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</row>
    <row r="43" ht="15.75" customHeight="1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</row>
    <row r="44" ht="15.75" customHeight="1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</row>
    <row r="45" ht="15.75" customHeight="1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</row>
    <row r="46" ht="15.75" customHeight="1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</row>
    <row r="47" ht="15.75" customHeight="1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</row>
    <row r="48" ht="15.75" customHeight="1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</row>
    <row r="49" ht="15.75" customHeight="1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</row>
    <row r="50" ht="15.75" customHeight="1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</row>
    <row r="51" ht="15.75" customHeight="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</row>
    <row r="52" ht="15.75" customHeight="1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</row>
    <row r="53" ht="15.75" customHeight="1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</row>
    <row r="54" ht="15.75" customHeight="1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</row>
    <row r="55" ht="15.75" customHeight="1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</row>
    <row r="56" ht="15.75" customHeight="1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</row>
    <row r="57" ht="15.75" customHeight="1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</row>
    <row r="58" ht="15.75" customHeight="1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</row>
    <row r="59" ht="15.75" customHeight="1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</row>
    <row r="60" ht="15.75" customHeight="1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</row>
    <row r="61" ht="15.75" customHeight="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</row>
    <row r="62" ht="15.75" customHeight="1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</row>
    <row r="63" ht="15.75" customHeight="1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</row>
    <row r="64" ht="15.75" customHeight="1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</row>
    <row r="65" ht="15.75" customHeight="1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</row>
    <row r="66" ht="15.75" customHeight="1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</row>
    <row r="67" ht="15.75" customHeight="1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</row>
    <row r="68" ht="15.75" customHeight="1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</row>
    <row r="69" ht="15.75" customHeight="1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</row>
    <row r="70" ht="15.75" customHeight="1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</row>
    <row r="71" ht="15.75" customHeight="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</row>
    <row r="72" ht="15.75" customHeight="1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</row>
    <row r="73" ht="15.75" customHeight="1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</row>
    <row r="74" ht="15.75" customHeight="1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</row>
    <row r="75" ht="15.75" customHeight="1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</row>
    <row r="76" ht="15.75" customHeight="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</row>
    <row r="77" ht="15.75" customHeight="1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</row>
    <row r="78" ht="15.75" customHeight="1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</row>
    <row r="79" ht="15.75" customHeight="1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</row>
    <row r="80" ht="15.75" customHeight="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</row>
    <row r="81" ht="15.75" customHeight="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</row>
    <row r="82" ht="15.75" customHeight="1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</row>
    <row r="83" ht="15.75" customHeight="1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</row>
    <row r="84" ht="15.75" customHeight="1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</row>
    <row r="85" ht="15.75" customHeight="1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</row>
    <row r="86" ht="15.75" customHeight="1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</row>
    <row r="87" ht="15.75" customHeight="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</row>
    <row r="88" ht="15.75" customHeight="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</row>
    <row r="89" ht="15.75" customHeight="1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</row>
    <row r="90" ht="15.75" customHeight="1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</row>
    <row r="91" ht="15.75" customHeight="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</row>
    <row r="92" ht="15.75" customHeight="1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</row>
    <row r="93" ht="15.75" customHeight="1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</row>
    <row r="94" ht="15.75" customHeight="1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</row>
    <row r="95" ht="15.75" customHeight="1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</row>
    <row r="96" ht="15.75" customHeight="1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</row>
    <row r="97" ht="15.75" customHeight="1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</row>
    <row r="98" ht="15.75" customHeight="1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</row>
    <row r="99" ht="15.75" customHeight="1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</row>
    <row r="100" ht="15.75" customHeight="1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</row>
    <row r="101" ht="15.75" customHeight="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</row>
    <row r="102" ht="15.75" customHeight="1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</row>
    <row r="103" ht="15.75" customHeight="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</row>
    <row r="104" ht="15.75" customHeight="1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</row>
    <row r="105" ht="15.75" customHeight="1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</row>
    <row r="106" ht="15.75" customHeight="1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</row>
    <row r="107" ht="15.75" customHeight="1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</row>
    <row r="108" ht="15.75" customHeight="1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</row>
    <row r="109" ht="15.75" customHeight="1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</row>
    <row r="110" ht="15.75" customHeight="1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</row>
    <row r="111" ht="15.75" customHeight="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</row>
    <row r="112" ht="15.75" customHeight="1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</row>
    <row r="113" ht="15.75" customHeight="1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</row>
    <row r="114" ht="15.75" customHeight="1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</row>
    <row r="115" ht="15.75" customHeight="1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</row>
    <row r="116" ht="15.75" customHeight="1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</row>
    <row r="117" ht="15.75" customHeight="1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</row>
    <row r="118" ht="15.75" customHeight="1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</row>
    <row r="119" ht="15.75" customHeight="1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</row>
    <row r="120" ht="15.75" customHeight="1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</row>
    <row r="121" ht="15.75" customHeight="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</row>
    <row r="122" ht="15.75" customHeight="1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</row>
    <row r="123" ht="15.75" customHeight="1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</row>
    <row r="124" ht="15.75" customHeight="1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</row>
    <row r="125" ht="15.75" customHeight="1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</row>
    <row r="126" ht="15.75" customHeight="1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</row>
    <row r="127" ht="15.75" customHeight="1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</row>
    <row r="128" ht="15.75" customHeight="1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</row>
    <row r="129" ht="15.75" customHeight="1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</row>
    <row r="130" ht="15.75" customHeight="1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</row>
    <row r="131" ht="15.75" customHeight="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</row>
    <row r="132" ht="15.75" customHeight="1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</row>
    <row r="133" ht="15.75" customHeight="1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</row>
    <row r="134" ht="15.75" customHeight="1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</row>
    <row r="135" ht="15.75" customHeight="1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</row>
    <row r="136" ht="15.75" customHeight="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</row>
    <row r="137" ht="15.75" customHeight="1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</row>
    <row r="138" ht="15.75" customHeight="1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</row>
    <row r="139" ht="15.75" customHeight="1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</row>
    <row r="140" ht="15.75" customHeight="1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</row>
    <row r="141" ht="15.75" customHeight="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</row>
    <row r="142" ht="15.75" customHeight="1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</row>
    <row r="143" ht="15.75" customHeight="1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</row>
    <row r="144" ht="15.75" customHeight="1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</row>
    <row r="145" ht="15.75" customHeight="1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</row>
    <row r="146" ht="15.75" customHeight="1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</row>
    <row r="147" ht="15.75" customHeight="1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</row>
    <row r="148" ht="15.75" customHeight="1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</row>
    <row r="149" ht="15.75" customHeight="1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</row>
    <row r="150" ht="15.75" customHeight="1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</row>
    <row r="151" ht="15.75" customHeight="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</row>
    <row r="152" ht="15.75" customHeight="1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</row>
    <row r="153" ht="15.75" customHeight="1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</row>
    <row r="154" ht="15.75" customHeight="1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</row>
    <row r="155" ht="15.75" customHeight="1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</row>
    <row r="156" ht="15.75" customHeight="1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</row>
    <row r="157" ht="15.75" customHeight="1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</row>
    <row r="158" ht="15.75" customHeight="1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</row>
    <row r="159" ht="15.75" customHeight="1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</row>
    <row r="160" ht="15.75" customHeight="1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</row>
    <row r="161" ht="15.75" customHeight="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</row>
    <row r="162" ht="15.75" customHeight="1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</row>
    <row r="163" ht="15.75" customHeight="1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</row>
    <row r="164" ht="15.75" customHeight="1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</row>
    <row r="165" ht="15.75" customHeight="1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</row>
    <row r="166" ht="15.75" customHeight="1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</row>
    <row r="167" ht="15.75" customHeight="1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</row>
    <row r="168" ht="15.75" customHeight="1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</row>
    <row r="169" ht="15.75" customHeight="1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</row>
    <row r="170" ht="15.75" customHeight="1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</row>
    <row r="171" ht="15.75" customHeight="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</row>
    <row r="172" ht="15.75" customHeight="1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</row>
    <row r="173" ht="15.75" customHeight="1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</row>
    <row r="174" ht="15.75" customHeight="1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</row>
    <row r="175" ht="15.75" customHeight="1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</row>
    <row r="176" ht="15.75" customHeight="1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</row>
    <row r="177" ht="15.75" customHeight="1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</row>
    <row r="178" ht="15.75" customHeight="1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</row>
    <row r="179" ht="15.75" customHeight="1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</row>
    <row r="180" ht="15.75" customHeight="1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</row>
    <row r="181" ht="15.75" customHeight="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</row>
    <row r="182" ht="15.75" customHeight="1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</row>
    <row r="183" ht="15.75" customHeight="1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</row>
    <row r="184" ht="15.75" customHeight="1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</row>
    <row r="185" ht="15.75" customHeight="1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</row>
    <row r="186" ht="15.75" customHeight="1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</row>
    <row r="187" ht="15.75" customHeight="1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</row>
    <row r="188" ht="15.75" customHeight="1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</row>
    <row r="189" ht="15.75" customHeight="1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</row>
    <row r="190" ht="15.75" customHeight="1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</row>
    <row r="191" ht="15.75" customHeight="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</row>
    <row r="192" ht="15.75" customHeight="1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</row>
    <row r="193" ht="15.75" customHeight="1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</row>
    <row r="194" ht="15.75" customHeight="1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</row>
    <row r="195" ht="15.75" customHeight="1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</row>
    <row r="196" ht="15.75" customHeight="1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</row>
    <row r="197" ht="15.75" customHeight="1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</row>
    <row r="198" ht="15.75" customHeight="1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</row>
    <row r="199" ht="15.75" customHeight="1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</row>
    <row r="200" ht="15.75" customHeight="1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</row>
    <row r="201" ht="15.75" customHeight="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</row>
    <row r="202" ht="15.75" customHeight="1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</row>
    <row r="203" ht="15.75" customHeight="1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</row>
    <row r="204" ht="15.75" customHeight="1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</row>
    <row r="205" ht="15.75" customHeight="1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</row>
    <row r="206" ht="15.75" customHeight="1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</row>
    <row r="207" ht="15.75" customHeight="1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</row>
    <row r="208" ht="15.75" customHeight="1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</row>
    <row r="209" ht="15.75" customHeight="1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</row>
    <row r="210" ht="15.75" customHeight="1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</row>
    <row r="211" ht="15.75" customHeight="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</row>
    <row r="212" ht="15.75" customHeight="1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</row>
    <row r="213" ht="15.75" customHeight="1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</row>
    <row r="214" ht="15.75" customHeight="1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</row>
    <row r="215" ht="15.75" customHeight="1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</row>
    <row r="216" ht="15.75" customHeight="1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</row>
    <row r="217" ht="15.75" customHeight="1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</row>
    <row r="218" ht="15.75" customHeight="1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</row>
    <row r="219" ht="15.75" customHeight="1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</row>
    <row r="220" ht="15.75" customHeight="1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</row>
    <row r="221" ht="15.75" customHeight="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</row>
    <row r="222" ht="15.75" customHeight="1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</row>
    <row r="223" ht="15.75" customHeight="1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</row>
    <row r="224" ht="15.75" customHeight="1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</row>
    <row r="225" ht="15.75" customHeight="1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</row>
    <row r="226" ht="15.75" customHeight="1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</row>
    <row r="227" ht="15.75" customHeight="1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</row>
    <row r="228" ht="15.75" customHeight="1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</row>
    <row r="229" ht="15.75" customHeight="1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</row>
    <row r="230" ht="15.75" customHeight="1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</row>
    <row r="231" ht="15.75" customHeight="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</row>
    <row r="232" ht="15.75" customHeight="1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E1"/>
    <mergeCell ref="A14:D14"/>
    <mergeCell ref="A25:E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6" width="10.88"/>
  </cols>
  <sheetData>
    <row r="1" ht="23.25" customHeight="1">
      <c r="A1" s="199" t="s">
        <v>507</v>
      </c>
      <c r="J1" s="200"/>
      <c r="K1" s="200"/>
      <c r="L1" s="200"/>
      <c r="M1" s="200"/>
      <c r="N1" s="200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</row>
    <row r="2" ht="20.25" customHeight="1">
      <c r="A2" s="201" t="s">
        <v>558</v>
      </c>
      <c r="B2" s="32" t="s">
        <v>559</v>
      </c>
      <c r="C2" s="32" t="s">
        <v>560</v>
      </c>
      <c r="D2" s="32" t="s">
        <v>561</v>
      </c>
      <c r="E2" s="32" t="s">
        <v>562</v>
      </c>
      <c r="F2" s="32" t="s">
        <v>563</v>
      </c>
      <c r="G2" s="32" t="s">
        <v>564</v>
      </c>
      <c r="H2" s="32" t="s">
        <v>565</v>
      </c>
      <c r="I2" s="32" t="s">
        <v>566</v>
      </c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</row>
    <row r="3" ht="15.75" customHeight="1">
      <c r="A3" s="21" t="s">
        <v>559</v>
      </c>
      <c r="B3" s="202">
        <v>11000.0</v>
      </c>
      <c r="C3" s="202">
        <v>11000.0</v>
      </c>
      <c r="D3" s="202">
        <v>11000.0</v>
      </c>
      <c r="E3" s="202">
        <v>11000.0</v>
      </c>
      <c r="F3" s="202">
        <v>11000.0</v>
      </c>
      <c r="G3" s="202">
        <v>11000.0</v>
      </c>
      <c r="H3" s="202">
        <v>11000.0</v>
      </c>
      <c r="I3" s="202">
        <v>12000.0</v>
      </c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</row>
    <row r="4" ht="15.75" customHeight="1">
      <c r="A4" s="21" t="s">
        <v>560</v>
      </c>
      <c r="B4" s="202">
        <v>11000.0</v>
      </c>
      <c r="C4" s="202">
        <v>11000.0</v>
      </c>
      <c r="D4" s="202">
        <v>11000.0</v>
      </c>
      <c r="E4" s="202">
        <v>11000.0</v>
      </c>
      <c r="F4" s="202">
        <v>12000.0</v>
      </c>
      <c r="G4" s="202">
        <v>15000.0</v>
      </c>
      <c r="H4" s="202">
        <v>17000.0</v>
      </c>
      <c r="I4" s="202">
        <v>19000.0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</row>
    <row r="5" ht="15.75" customHeight="1">
      <c r="A5" s="21" t="s">
        <v>561</v>
      </c>
      <c r="B5" s="202">
        <v>11000.0</v>
      </c>
      <c r="C5" s="202">
        <v>11000.0</v>
      </c>
      <c r="D5" s="202">
        <v>11000.0</v>
      </c>
      <c r="E5" s="202">
        <v>14000.0</v>
      </c>
      <c r="F5" s="202">
        <v>17000.0</v>
      </c>
      <c r="G5" s="202">
        <v>20000.0</v>
      </c>
      <c r="H5" s="202">
        <v>23000.0</v>
      </c>
      <c r="I5" s="202">
        <v>27000.0</v>
      </c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</row>
    <row r="6" ht="15.75" customHeight="1">
      <c r="A6" s="21" t="s">
        <v>562</v>
      </c>
      <c r="B6" s="202">
        <v>11000.0</v>
      </c>
      <c r="C6" s="202">
        <v>11000.0</v>
      </c>
      <c r="D6" s="202">
        <v>14000.0</v>
      </c>
      <c r="E6" s="202">
        <v>18000.0</v>
      </c>
      <c r="F6" s="202">
        <v>22000.0</v>
      </c>
      <c r="G6" s="202">
        <v>26000.0</v>
      </c>
      <c r="H6" s="202">
        <v>30000.0</v>
      </c>
      <c r="I6" s="202">
        <v>34000.0</v>
      </c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</row>
    <row r="7" ht="15.75" customHeight="1">
      <c r="A7" s="21" t="s">
        <v>563</v>
      </c>
      <c r="B7" s="202">
        <v>11000.0</v>
      </c>
      <c r="C7" s="202">
        <v>12000.0</v>
      </c>
      <c r="D7" s="202">
        <v>17000.0</v>
      </c>
      <c r="E7" s="202">
        <v>22000.0</v>
      </c>
      <c r="F7" s="202">
        <v>27000.0</v>
      </c>
      <c r="G7" s="202">
        <v>32000.0</v>
      </c>
      <c r="H7" s="202">
        <v>37000.0</v>
      </c>
      <c r="I7" s="202">
        <v>42000.0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</row>
    <row r="8" ht="15.75" customHeight="1">
      <c r="A8" s="21" t="s">
        <v>564</v>
      </c>
      <c r="B8" s="202">
        <v>11000.0</v>
      </c>
      <c r="C8" s="202">
        <v>15000.0</v>
      </c>
      <c r="D8" s="202">
        <v>20000.0</v>
      </c>
      <c r="E8" s="202">
        <v>26000.0</v>
      </c>
      <c r="F8" s="202">
        <v>32000.0</v>
      </c>
      <c r="G8" s="202">
        <v>38000.0</v>
      </c>
      <c r="H8" s="202">
        <v>43000.0</v>
      </c>
      <c r="I8" s="202">
        <v>49000.0</v>
      </c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</row>
    <row r="9" ht="15.75" customHeight="1">
      <c r="A9" s="21" t="s">
        <v>565</v>
      </c>
      <c r="B9" s="202">
        <v>11000.0</v>
      </c>
      <c r="C9" s="202">
        <v>17000.0</v>
      </c>
      <c r="D9" s="202">
        <v>23000.0</v>
      </c>
      <c r="E9" s="202">
        <v>30000.0</v>
      </c>
      <c r="F9" s="202">
        <v>37000.0</v>
      </c>
      <c r="G9" s="202">
        <v>43000.0</v>
      </c>
      <c r="H9" s="203">
        <v>50000.0</v>
      </c>
      <c r="I9" s="203">
        <v>56000.0</v>
      </c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</row>
    <row r="10" ht="15.75" customHeight="1">
      <c r="A10" s="21" t="s">
        <v>566</v>
      </c>
      <c r="B10" s="202">
        <v>12000.0</v>
      </c>
      <c r="C10" s="202">
        <v>19000.0</v>
      </c>
      <c r="D10" s="202">
        <v>27000.0</v>
      </c>
      <c r="E10" s="202">
        <v>34000.0</v>
      </c>
      <c r="F10" s="202">
        <v>42000.0</v>
      </c>
      <c r="G10" s="202">
        <v>49000.0</v>
      </c>
      <c r="H10" s="203">
        <v>56000.0</v>
      </c>
      <c r="I10" s="203">
        <v>64000.0</v>
      </c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</row>
    <row r="11" ht="19.5" customHeight="1">
      <c r="A11" s="204" t="s">
        <v>510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</row>
    <row r="12" ht="23.25" customHeight="1">
      <c r="A12" s="205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</row>
    <row r="13" ht="23.25" customHeight="1">
      <c r="A13" s="205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</row>
    <row r="14" ht="23.25" customHeight="1">
      <c r="A14" s="61" t="s">
        <v>567</v>
      </c>
      <c r="J14" s="4"/>
      <c r="K14" s="61" t="s">
        <v>568</v>
      </c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</row>
    <row r="15" ht="23.25" customHeight="1">
      <c r="A15" s="1" t="s">
        <v>513</v>
      </c>
      <c r="B15" s="32" t="s">
        <v>559</v>
      </c>
      <c r="C15" s="32" t="s">
        <v>560</v>
      </c>
      <c r="D15" s="32" t="s">
        <v>561</v>
      </c>
      <c r="E15" s="32" t="s">
        <v>562</v>
      </c>
      <c r="F15" s="32" t="s">
        <v>563</v>
      </c>
      <c r="G15" s="32" t="s">
        <v>564</v>
      </c>
      <c r="H15" s="32" t="s">
        <v>565</v>
      </c>
      <c r="I15" s="32" t="s">
        <v>566</v>
      </c>
      <c r="J15" s="53"/>
      <c r="K15" s="1" t="s">
        <v>519</v>
      </c>
      <c r="L15" s="27" t="s">
        <v>473</v>
      </c>
      <c r="M15" s="27" t="s">
        <v>474</v>
      </c>
      <c r="N15" s="27" t="s">
        <v>520</v>
      </c>
      <c r="O15" s="27" t="s">
        <v>521</v>
      </c>
      <c r="P15" s="27" t="s">
        <v>522</v>
      </c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</row>
    <row r="16" ht="17.25" customHeight="1">
      <c r="A16" s="21" t="s">
        <v>559</v>
      </c>
      <c r="B16" s="206" t="s">
        <v>473</v>
      </c>
      <c r="C16" s="206" t="s">
        <v>473</v>
      </c>
      <c r="D16" s="206" t="s">
        <v>473</v>
      </c>
      <c r="E16" s="206" t="s">
        <v>473</v>
      </c>
      <c r="F16" s="206" t="s">
        <v>473</v>
      </c>
      <c r="G16" s="206" t="s">
        <v>473</v>
      </c>
      <c r="H16" s="206" t="s">
        <v>473</v>
      </c>
      <c r="I16" s="207" t="s">
        <v>474</v>
      </c>
      <c r="J16" s="53"/>
      <c r="K16" s="32">
        <v>10.0</v>
      </c>
      <c r="L16" s="208">
        <v>55000.0</v>
      </c>
      <c r="M16" s="209">
        <v>65000.0</v>
      </c>
      <c r="N16" s="210">
        <v>65000.0</v>
      </c>
      <c r="O16" s="211">
        <v>80000.0</v>
      </c>
      <c r="P16" s="212">
        <v>120000.0</v>
      </c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</row>
    <row r="17" ht="17.25" customHeight="1">
      <c r="A17" s="21" t="s">
        <v>560</v>
      </c>
      <c r="B17" s="206" t="s">
        <v>473</v>
      </c>
      <c r="C17" s="206" t="s">
        <v>473</v>
      </c>
      <c r="D17" s="206" t="s">
        <v>473</v>
      </c>
      <c r="E17" s="206" t="s">
        <v>473</v>
      </c>
      <c r="F17" s="207" t="s">
        <v>474</v>
      </c>
      <c r="G17" s="207" t="s">
        <v>474</v>
      </c>
      <c r="H17" s="207" t="s">
        <v>474</v>
      </c>
      <c r="I17" s="207" t="s">
        <v>474</v>
      </c>
      <c r="J17" s="53"/>
      <c r="K17" s="32">
        <v>200.0</v>
      </c>
      <c r="L17" s="208">
        <v>65000.0</v>
      </c>
      <c r="M17" s="209">
        <v>80000.0</v>
      </c>
      <c r="N17" s="210">
        <v>90000.0</v>
      </c>
      <c r="O17" s="211">
        <v>120000.0</v>
      </c>
      <c r="P17" s="212">
        <v>160000.0</v>
      </c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</row>
    <row r="18" ht="17.25" customHeight="1">
      <c r="A18" s="21" t="s">
        <v>561</v>
      </c>
      <c r="B18" s="206" t="s">
        <v>473</v>
      </c>
      <c r="C18" s="206" t="s">
        <v>473</v>
      </c>
      <c r="D18" s="207" t="s">
        <v>474</v>
      </c>
      <c r="E18" s="207" t="s">
        <v>474</v>
      </c>
      <c r="F18" s="207" t="s">
        <v>474</v>
      </c>
      <c r="G18" s="207" t="s">
        <v>474</v>
      </c>
      <c r="H18" s="207" t="s">
        <v>474</v>
      </c>
      <c r="I18" s="213" t="s">
        <v>521</v>
      </c>
      <c r="J18" s="53"/>
      <c r="K18" s="32">
        <v>500.0</v>
      </c>
      <c r="L18" s="208">
        <v>70000.0</v>
      </c>
      <c r="M18" s="209">
        <v>85000.0</v>
      </c>
      <c r="N18" s="210">
        <v>100000.0</v>
      </c>
      <c r="O18" s="211">
        <v>140000.0</v>
      </c>
      <c r="P18" s="212">
        <v>180000.0</v>
      </c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</row>
    <row r="19" ht="17.25" customHeight="1">
      <c r="A19" s="21" t="s">
        <v>562</v>
      </c>
      <c r="B19" s="206" t="s">
        <v>473</v>
      </c>
      <c r="C19" s="206" t="s">
        <v>473</v>
      </c>
      <c r="D19" s="207" t="s">
        <v>474</v>
      </c>
      <c r="E19" s="214" t="s">
        <v>520</v>
      </c>
      <c r="F19" s="214" t="s">
        <v>520</v>
      </c>
      <c r="G19" s="213" t="s">
        <v>521</v>
      </c>
      <c r="H19" s="213" t="s">
        <v>521</v>
      </c>
      <c r="I19" s="213" t="s">
        <v>521</v>
      </c>
      <c r="J19" s="53"/>
      <c r="K19" s="32">
        <v>1000.0</v>
      </c>
      <c r="L19" s="208">
        <v>75000.0</v>
      </c>
      <c r="M19" s="209">
        <v>95000.0</v>
      </c>
      <c r="N19" s="210">
        <v>120000.0</v>
      </c>
      <c r="O19" s="211">
        <v>160000.0</v>
      </c>
      <c r="P19" s="212">
        <v>200000.0</v>
      </c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</row>
    <row r="20" ht="17.25" customHeight="1">
      <c r="A20" s="21" t="s">
        <v>563</v>
      </c>
      <c r="B20" s="206" t="s">
        <v>473</v>
      </c>
      <c r="C20" s="207" t="s">
        <v>474</v>
      </c>
      <c r="D20" s="207" t="s">
        <v>474</v>
      </c>
      <c r="E20" s="214" t="s">
        <v>520</v>
      </c>
      <c r="F20" s="213" t="s">
        <v>521</v>
      </c>
      <c r="G20" s="213" t="s">
        <v>521</v>
      </c>
      <c r="H20" s="213" t="s">
        <v>521</v>
      </c>
      <c r="I20" s="213" t="s">
        <v>521</v>
      </c>
      <c r="J20" s="130"/>
      <c r="K20" s="99">
        <v>2000.0</v>
      </c>
      <c r="L20" s="215">
        <v>150000.0</v>
      </c>
      <c r="M20" s="216">
        <v>190000.0</v>
      </c>
      <c r="N20" s="217">
        <v>240000.0</v>
      </c>
      <c r="O20" s="218">
        <v>320000.0</v>
      </c>
      <c r="P20" s="219">
        <v>400000.0</v>
      </c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</row>
    <row r="21" ht="17.25" customHeight="1">
      <c r="A21" s="21" t="s">
        <v>564</v>
      </c>
      <c r="B21" s="206" t="s">
        <v>473</v>
      </c>
      <c r="C21" s="207" t="s">
        <v>474</v>
      </c>
      <c r="D21" s="207" t="s">
        <v>474</v>
      </c>
      <c r="E21" s="213" t="s">
        <v>521</v>
      </c>
      <c r="F21" s="213" t="s">
        <v>521</v>
      </c>
      <c r="G21" s="213" t="s">
        <v>521</v>
      </c>
      <c r="H21" s="213" t="s">
        <v>521</v>
      </c>
      <c r="I21" s="220" t="s">
        <v>522</v>
      </c>
      <c r="J21" s="130"/>
      <c r="K21" s="176">
        <v>3000.0</v>
      </c>
      <c r="L21" s="215">
        <v>225000.0</v>
      </c>
      <c r="M21" s="216">
        <v>285000.0</v>
      </c>
      <c r="N21" s="217">
        <v>360000.0</v>
      </c>
      <c r="O21" s="218">
        <v>480000.0</v>
      </c>
      <c r="P21" s="219">
        <v>600000.0</v>
      </c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</row>
    <row r="22" ht="17.25" customHeight="1">
      <c r="A22" s="21" t="s">
        <v>565</v>
      </c>
      <c r="B22" s="206" t="s">
        <v>473</v>
      </c>
      <c r="C22" s="207" t="s">
        <v>474</v>
      </c>
      <c r="D22" s="207" t="s">
        <v>474</v>
      </c>
      <c r="E22" s="213" t="s">
        <v>521</v>
      </c>
      <c r="F22" s="213" t="s">
        <v>521</v>
      </c>
      <c r="G22" s="213" t="s">
        <v>521</v>
      </c>
      <c r="H22" s="220" t="s">
        <v>522</v>
      </c>
      <c r="I22" s="220" t="s">
        <v>522</v>
      </c>
      <c r="J22" s="130"/>
      <c r="K22" s="176">
        <v>4000.0</v>
      </c>
      <c r="L22" s="215">
        <v>300000.0</v>
      </c>
      <c r="M22" s="216">
        <v>380000.0</v>
      </c>
      <c r="N22" s="217">
        <v>480000.0</v>
      </c>
      <c r="O22" s="218">
        <v>640000.0</v>
      </c>
      <c r="P22" s="219">
        <v>800000.0</v>
      </c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</row>
    <row r="23" ht="17.25" customHeight="1">
      <c r="A23" s="21" t="s">
        <v>566</v>
      </c>
      <c r="B23" s="207" t="s">
        <v>474</v>
      </c>
      <c r="C23" s="207" t="s">
        <v>474</v>
      </c>
      <c r="D23" s="213" t="s">
        <v>521</v>
      </c>
      <c r="E23" s="213" t="s">
        <v>521</v>
      </c>
      <c r="F23" s="213" t="s">
        <v>521</v>
      </c>
      <c r="G23" s="220" t="s">
        <v>522</v>
      </c>
      <c r="H23" s="220" t="s">
        <v>522</v>
      </c>
      <c r="I23" s="220" t="s">
        <v>522</v>
      </c>
      <c r="J23" s="130"/>
      <c r="K23" s="176">
        <v>5000.0</v>
      </c>
      <c r="L23" s="215">
        <v>375000.0</v>
      </c>
      <c r="M23" s="216">
        <v>475000.0</v>
      </c>
      <c r="N23" s="217">
        <v>600000.0</v>
      </c>
      <c r="O23" s="218">
        <v>800000.0</v>
      </c>
      <c r="P23" s="219">
        <v>1000000.0</v>
      </c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</row>
    <row r="24" ht="17.25" customHeight="1">
      <c r="A24" s="53"/>
      <c r="B24" s="53"/>
      <c r="C24" s="53"/>
      <c r="D24" s="53"/>
      <c r="E24" s="53"/>
      <c r="F24" s="53"/>
      <c r="G24" s="53"/>
      <c r="H24" s="53"/>
      <c r="I24" s="53"/>
      <c r="J24" s="130"/>
      <c r="K24" s="176">
        <v>6000.0</v>
      </c>
      <c r="L24" s="215">
        <v>450000.0</v>
      </c>
      <c r="M24" s="216">
        <v>570000.0</v>
      </c>
      <c r="N24" s="217">
        <v>720000.0</v>
      </c>
      <c r="O24" s="218">
        <v>960000.0</v>
      </c>
      <c r="P24" s="219">
        <v>1200000.0</v>
      </c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</row>
    <row r="25" ht="17.25" customHeight="1">
      <c r="A25" s="53"/>
      <c r="B25" s="53"/>
      <c r="C25" s="53"/>
      <c r="D25" s="53"/>
      <c r="E25" s="53"/>
      <c r="F25" s="53"/>
      <c r="G25" s="53"/>
      <c r="H25" s="53"/>
      <c r="I25" s="53"/>
      <c r="J25" s="130"/>
      <c r="K25" s="176">
        <v>7000.0</v>
      </c>
      <c r="L25" s="215">
        <v>525000.0</v>
      </c>
      <c r="M25" s="216">
        <v>665000.0</v>
      </c>
      <c r="N25" s="217">
        <v>840000.0</v>
      </c>
      <c r="O25" s="218">
        <v>1120000.0</v>
      </c>
      <c r="P25" s="219">
        <v>1400000.0</v>
      </c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</row>
    <row r="26" ht="17.25" customHeight="1">
      <c r="A26" s="175"/>
      <c r="B26" s="175"/>
      <c r="C26" s="175"/>
      <c r="D26" s="175"/>
      <c r="E26" s="175"/>
      <c r="F26" s="175"/>
      <c r="G26" s="175"/>
      <c r="H26" s="175"/>
      <c r="I26" s="175"/>
      <c r="J26" s="130"/>
      <c r="K26" s="176">
        <v>8000.0</v>
      </c>
      <c r="L26" s="215">
        <v>600000.0</v>
      </c>
      <c r="M26" s="216">
        <v>760000.0</v>
      </c>
      <c r="N26" s="217">
        <v>960000.0</v>
      </c>
      <c r="O26" s="218">
        <v>1280000.0</v>
      </c>
      <c r="P26" s="219">
        <v>1600000.0</v>
      </c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</row>
    <row r="27" ht="17.25" customHeight="1">
      <c r="A27" s="175"/>
      <c r="B27" s="175"/>
      <c r="C27" s="175"/>
      <c r="D27" s="175"/>
      <c r="E27" s="175"/>
      <c r="F27" s="175"/>
      <c r="G27" s="175"/>
      <c r="H27" s="175"/>
      <c r="I27" s="175"/>
      <c r="J27" s="130"/>
      <c r="K27" s="176">
        <v>9000.0</v>
      </c>
      <c r="L27" s="215">
        <v>675000.0</v>
      </c>
      <c r="M27" s="216">
        <v>855000.0</v>
      </c>
      <c r="N27" s="217">
        <v>1080000.0</v>
      </c>
      <c r="O27" s="218">
        <v>1440000.0</v>
      </c>
      <c r="P27" s="219">
        <v>1800000.0</v>
      </c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</row>
    <row r="28" ht="17.25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30"/>
      <c r="K28" s="176">
        <v>10000.0</v>
      </c>
      <c r="L28" s="215">
        <v>750000.0</v>
      </c>
      <c r="M28" s="216">
        <v>950000.0</v>
      </c>
      <c r="N28" s="217">
        <v>1200000.0</v>
      </c>
      <c r="O28" s="218">
        <v>1600000.0</v>
      </c>
      <c r="P28" s="219">
        <v>2000000.0</v>
      </c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</row>
    <row r="29" ht="17.25" customHeight="1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</row>
    <row r="30" ht="17.25" customHeight="1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</row>
    <row r="31" ht="17.25" customHeight="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</row>
    <row r="32" ht="17.25" customHeight="1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</row>
    <row r="33" ht="17.25" customHeight="1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</row>
    <row r="34" ht="21.75" customHeight="1">
      <c r="A34" s="61" t="s">
        <v>569</v>
      </c>
      <c r="J34" s="4"/>
      <c r="K34" s="61" t="s">
        <v>570</v>
      </c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</row>
    <row r="35" ht="17.25" customHeight="1">
      <c r="A35" s="1" t="s">
        <v>513</v>
      </c>
      <c r="B35" s="32" t="s">
        <v>559</v>
      </c>
      <c r="C35" s="32" t="s">
        <v>560</v>
      </c>
      <c r="D35" s="32" t="s">
        <v>561</v>
      </c>
      <c r="E35" s="32" t="s">
        <v>562</v>
      </c>
      <c r="F35" s="32" t="s">
        <v>563</v>
      </c>
      <c r="G35" s="32" t="s">
        <v>564</v>
      </c>
      <c r="H35" s="32" t="s">
        <v>565</v>
      </c>
      <c r="I35" s="32" t="s">
        <v>566</v>
      </c>
      <c r="J35" s="53"/>
      <c r="K35" s="1" t="s">
        <v>519</v>
      </c>
      <c r="L35" s="27" t="s">
        <v>473</v>
      </c>
      <c r="M35" s="27" t="s">
        <v>474</v>
      </c>
      <c r="N35" s="27" t="s">
        <v>520</v>
      </c>
      <c r="O35" s="27" t="s">
        <v>521</v>
      </c>
      <c r="P35" s="27" t="s">
        <v>522</v>
      </c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</row>
    <row r="36" ht="17.25" customHeight="1">
      <c r="A36" s="21" t="s">
        <v>559</v>
      </c>
      <c r="B36" s="206" t="s">
        <v>473</v>
      </c>
      <c r="C36" s="206" t="s">
        <v>473</v>
      </c>
      <c r="D36" s="206" t="s">
        <v>473</v>
      </c>
      <c r="E36" s="206" t="s">
        <v>473</v>
      </c>
      <c r="F36" s="206" t="s">
        <v>473</v>
      </c>
      <c r="G36" s="206" t="s">
        <v>473</v>
      </c>
      <c r="H36" s="206" t="s">
        <v>473</v>
      </c>
      <c r="I36" s="207" t="s">
        <v>474</v>
      </c>
      <c r="J36" s="53"/>
      <c r="K36" s="32">
        <v>10.0</v>
      </c>
      <c r="L36" s="208">
        <v>65000.0</v>
      </c>
      <c r="M36" s="209">
        <v>80000.0</v>
      </c>
      <c r="N36" s="210">
        <v>80000.0</v>
      </c>
      <c r="O36" s="211">
        <v>100000.0</v>
      </c>
      <c r="P36" s="212">
        <v>150000.0</v>
      </c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</row>
    <row r="37" ht="17.25" customHeight="1">
      <c r="A37" s="21" t="s">
        <v>560</v>
      </c>
      <c r="B37" s="206" t="s">
        <v>473</v>
      </c>
      <c r="C37" s="206" t="s">
        <v>473</v>
      </c>
      <c r="D37" s="206" t="s">
        <v>473</v>
      </c>
      <c r="E37" s="206" t="s">
        <v>473</v>
      </c>
      <c r="F37" s="207" t="s">
        <v>474</v>
      </c>
      <c r="G37" s="207" t="s">
        <v>474</v>
      </c>
      <c r="H37" s="207" t="s">
        <v>474</v>
      </c>
      <c r="I37" s="207" t="s">
        <v>474</v>
      </c>
      <c r="J37" s="53"/>
      <c r="K37" s="32">
        <v>200.0</v>
      </c>
      <c r="L37" s="208">
        <v>80000.0</v>
      </c>
      <c r="M37" s="209">
        <v>103000.0</v>
      </c>
      <c r="N37" s="210">
        <v>113000.0</v>
      </c>
      <c r="O37" s="211">
        <v>150000.0</v>
      </c>
      <c r="P37" s="212">
        <v>200000.0</v>
      </c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</row>
    <row r="38" ht="17.25" customHeight="1">
      <c r="A38" s="21" t="s">
        <v>561</v>
      </c>
      <c r="B38" s="206" t="s">
        <v>473</v>
      </c>
      <c r="C38" s="206" t="s">
        <v>473</v>
      </c>
      <c r="D38" s="207" t="s">
        <v>474</v>
      </c>
      <c r="E38" s="207" t="s">
        <v>474</v>
      </c>
      <c r="F38" s="207" t="s">
        <v>474</v>
      </c>
      <c r="G38" s="207" t="s">
        <v>474</v>
      </c>
      <c r="H38" s="207" t="s">
        <v>474</v>
      </c>
      <c r="I38" s="213" t="s">
        <v>521</v>
      </c>
      <c r="J38" s="53"/>
      <c r="K38" s="32">
        <v>500.0</v>
      </c>
      <c r="L38" s="208">
        <v>88000.0</v>
      </c>
      <c r="M38" s="209">
        <v>110000.0</v>
      </c>
      <c r="N38" s="210">
        <v>125000.0</v>
      </c>
      <c r="O38" s="211">
        <v>175000.0</v>
      </c>
      <c r="P38" s="212">
        <v>225000.0</v>
      </c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</row>
    <row r="39" ht="17.25" customHeight="1">
      <c r="A39" s="21" t="s">
        <v>562</v>
      </c>
      <c r="B39" s="206" t="s">
        <v>473</v>
      </c>
      <c r="C39" s="206" t="s">
        <v>473</v>
      </c>
      <c r="D39" s="207" t="s">
        <v>474</v>
      </c>
      <c r="E39" s="214" t="s">
        <v>520</v>
      </c>
      <c r="F39" s="214" t="s">
        <v>520</v>
      </c>
      <c r="G39" s="213" t="s">
        <v>521</v>
      </c>
      <c r="H39" s="213" t="s">
        <v>521</v>
      </c>
      <c r="I39" s="213" t="s">
        <v>521</v>
      </c>
      <c r="J39" s="53"/>
      <c r="K39" s="32">
        <v>1000.0</v>
      </c>
      <c r="L39" s="208">
        <v>95000.0</v>
      </c>
      <c r="M39" s="209">
        <v>125000.0</v>
      </c>
      <c r="N39" s="210">
        <v>150000.0</v>
      </c>
      <c r="O39" s="211">
        <v>200000.0</v>
      </c>
      <c r="P39" s="212">
        <v>250000.0</v>
      </c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</row>
    <row r="40" ht="17.25" customHeight="1">
      <c r="A40" s="21" t="s">
        <v>563</v>
      </c>
      <c r="B40" s="206" t="s">
        <v>473</v>
      </c>
      <c r="C40" s="207" t="s">
        <v>474</v>
      </c>
      <c r="D40" s="207" t="s">
        <v>474</v>
      </c>
      <c r="E40" s="214" t="s">
        <v>520</v>
      </c>
      <c r="F40" s="213" t="s">
        <v>521</v>
      </c>
      <c r="G40" s="213" t="s">
        <v>521</v>
      </c>
      <c r="H40" s="213" t="s">
        <v>521</v>
      </c>
      <c r="I40" s="213" t="s">
        <v>521</v>
      </c>
      <c r="J40" s="130"/>
      <c r="K40" s="99">
        <v>2000.0</v>
      </c>
      <c r="L40" s="215">
        <v>190000.0</v>
      </c>
      <c r="M40" s="216">
        <v>250000.0</v>
      </c>
      <c r="N40" s="217">
        <v>300000.0</v>
      </c>
      <c r="O40" s="218">
        <v>400000.0</v>
      </c>
      <c r="P40" s="219">
        <v>500000.0</v>
      </c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</row>
    <row r="41" ht="17.25" customHeight="1">
      <c r="A41" s="21" t="s">
        <v>564</v>
      </c>
      <c r="B41" s="206" t="s">
        <v>473</v>
      </c>
      <c r="C41" s="207" t="s">
        <v>474</v>
      </c>
      <c r="D41" s="207" t="s">
        <v>474</v>
      </c>
      <c r="E41" s="213" t="s">
        <v>521</v>
      </c>
      <c r="F41" s="213" t="s">
        <v>521</v>
      </c>
      <c r="G41" s="213" t="s">
        <v>521</v>
      </c>
      <c r="H41" s="213" t="s">
        <v>521</v>
      </c>
      <c r="I41" s="220" t="s">
        <v>522</v>
      </c>
      <c r="J41" s="130"/>
      <c r="K41" s="176">
        <v>3000.0</v>
      </c>
      <c r="L41" s="215">
        <v>285000.0</v>
      </c>
      <c r="M41" s="216">
        <v>375000.0</v>
      </c>
      <c r="N41" s="217">
        <v>450000.0</v>
      </c>
      <c r="O41" s="218">
        <v>600000.0</v>
      </c>
      <c r="P41" s="219">
        <v>750000.0</v>
      </c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</row>
    <row r="42" ht="17.25" customHeight="1">
      <c r="A42" s="21" t="s">
        <v>565</v>
      </c>
      <c r="B42" s="206" t="s">
        <v>473</v>
      </c>
      <c r="C42" s="207" t="s">
        <v>474</v>
      </c>
      <c r="D42" s="207" t="s">
        <v>474</v>
      </c>
      <c r="E42" s="213" t="s">
        <v>521</v>
      </c>
      <c r="F42" s="213" t="s">
        <v>521</v>
      </c>
      <c r="G42" s="213" t="s">
        <v>521</v>
      </c>
      <c r="H42" s="220" t="s">
        <v>522</v>
      </c>
      <c r="I42" s="220" t="s">
        <v>522</v>
      </c>
      <c r="J42" s="130"/>
      <c r="K42" s="176">
        <v>4000.0</v>
      </c>
      <c r="L42" s="215">
        <v>380000.0</v>
      </c>
      <c r="M42" s="216">
        <v>500000.0</v>
      </c>
      <c r="N42" s="217">
        <v>600000.0</v>
      </c>
      <c r="O42" s="218">
        <v>800000.0</v>
      </c>
      <c r="P42" s="219">
        <v>1000000.0</v>
      </c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</row>
    <row r="43" ht="17.25" customHeight="1">
      <c r="A43" s="21" t="s">
        <v>566</v>
      </c>
      <c r="B43" s="207" t="s">
        <v>474</v>
      </c>
      <c r="C43" s="207" t="s">
        <v>474</v>
      </c>
      <c r="D43" s="213" t="s">
        <v>521</v>
      </c>
      <c r="E43" s="213" t="s">
        <v>521</v>
      </c>
      <c r="F43" s="213" t="s">
        <v>521</v>
      </c>
      <c r="G43" s="220" t="s">
        <v>522</v>
      </c>
      <c r="H43" s="220" t="s">
        <v>522</v>
      </c>
      <c r="I43" s="220" t="s">
        <v>522</v>
      </c>
      <c r="J43" s="130"/>
      <c r="K43" s="176">
        <v>5000.0</v>
      </c>
      <c r="L43" s="215">
        <v>475000.0</v>
      </c>
      <c r="M43" s="216">
        <v>625000.0</v>
      </c>
      <c r="N43" s="217">
        <v>750000.0</v>
      </c>
      <c r="O43" s="218">
        <v>1000000.0</v>
      </c>
      <c r="P43" s="219">
        <v>1250000.0</v>
      </c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</row>
    <row r="44" ht="17.25" customHeight="1">
      <c r="A44" s="53"/>
      <c r="B44" s="53"/>
      <c r="C44" s="53"/>
      <c r="D44" s="53"/>
      <c r="E44" s="53"/>
      <c r="F44" s="53"/>
      <c r="G44" s="53"/>
      <c r="H44" s="53"/>
      <c r="I44" s="53"/>
      <c r="J44" s="130"/>
      <c r="K44" s="176">
        <v>6000.0</v>
      </c>
      <c r="L44" s="215">
        <v>570000.0</v>
      </c>
      <c r="M44" s="216">
        <v>750000.0</v>
      </c>
      <c r="N44" s="217">
        <v>900000.0</v>
      </c>
      <c r="O44" s="218">
        <v>1200000.0</v>
      </c>
      <c r="P44" s="219">
        <v>1500000.0</v>
      </c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</row>
    <row r="45" ht="17.25" customHeight="1">
      <c r="A45" s="53"/>
      <c r="B45" s="53"/>
      <c r="C45" s="53"/>
      <c r="D45" s="53"/>
      <c r="E45" s="53"/>
      <c r="F45" s="53"/>
      <c r="G45" s="53"/>
      <c r="H45" s="53"/>
      <c r="I45" s="53"/>
      <c r="J45" s="130"/>
      <c r="K45" s="176">
        <v>7000.0</v>
      </c>
      <c r="L45" s="215">
        <v>665000.0</v>
      </c>
      <c r="M45" s="216">
        <v>875000.0</v>
      </c>
      <c r="N45" s="217">
        <v>1050000.0</v>
      </c>
      <c r="O45" s="218">
        <v>1400000.0</v>
      </c>
      <c r="P45" s="219">
        <v>1750000.0</v>
      </c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</row>
    <row r="46" ht="17.25" customHeight="1">
      <c r="A46" s="175"/>
      <c r="B46" s="175"/>
      <c r="C46" s="175"/>
      <c r="D46" s="175"/>
      <c r="E46" s="175"/>
      <c r="F46" s="175"/>
      <c r="G46" s="175"/>
      <c r="H46" s="175"/>
      <c r="I46" s="175"/>
      <c r="J46" s="130"/>
      <c r="K46" s="176">
        <v>8000.0</v>
      </c>
      <c r="L46" s="215">
        <v>760000.0</v>
      </c>
      <c r="M46" s="216">
        <v>1000000.0</v>
      </c>
      <c r="N46" s="217">
        <v>1200000.0</v>
      </c>
      <c r="O46" s="218">
        <v>1600000.0</v>
      </c>
      <c r="P46" s="219">
        <v>2000000.0</v>
      </c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</row>
    <row r="47" ht="15.75" customHeight="1">
      <c r="A47" s="175"/>
      <c r="B47" s="175"/>
      <c r="C47" s="175"/>
      <c r="D47" s="175"/>
      <c r="E47" s="175"/>
      <c r="F47" s="175"/>
      <c r="G47" s="175"/>
      <c r="H47" s="175"/>
      <c r="I47" s="175"/>
      <c r="J47" s="130"/>
      <c r="K47" s="176">
        <v>9000.0</v>
      </c>
      <c r="L47" s="215">
        <v>855000.0</v>
      </c>
      <c r="M47" s="216">
        <v>1125000.0</v>
      </c>
      <c r="N47" s="217">
        <v>1350000.0</v>
      </c>
      <c r="O47" s="218">
        <v>1800000.0</v>
      </c>
      <c r="P47" s="219">
        <v>2250000.0</v>
      </c>
      <c r="Q47" s="221"/>
      <c r="R47" s="221"/>
      <c r="S47" s="221"/>
      <c r="T47" s="222"/>
      <c r="U47" s="223"/>
      <c r="V47" s="224"/>
      <c r="W47" s="225"/>
      <c r="X47" s="225"/>
      <c r="Y47" s="225"/>
      <c r="Z47" s="225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ht="15.7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30"/>
      <c r="K48" s="176">
        <v>10000.0</v>
      </c>
      <c r="L48" s="215">
        <v>950000.0</v>
      </c>
      <c r="M48" s="216">
        <v>1250000.0</v>
      </c>
      <c r="N48" s="217">
        <v>1500000.0</v>
      </c>
      <c r="O48" s="218">
        <v>2000000.0</v>
      </c>
      <c r="P48" s="219">
        <v>2500000.0</v>
      </c>
      <c r="Q48" s="223"/>
      <c r="R48" s="224"/>
      <c r="S48" s="223"/>
      <c r="T48" s="224"/>
      <c r="U48" s="223"/>
      <c r="V48" s="224"/>
      <c r="W48" s="225"/>
      <c r="X48" s="225"/>
      <c r="Y48" s="225"/>
      <c r="Z48" s="225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</row>
    <row r="49" ht="15.75" customHeight="1">
      <c r="A49" s="223"/>
      <c r="B49" s="223"/>
      <c r="C49" s="222"/>
      <c r="D49" s="223"/>
      <c r="E49" s="222"/>
      <c r="F49" s="223"/>
      <c r="G49" s="222"/>
      <c r="H49" s="222"/>
      <c r="I49" s="222"/>
      <c r="J49" s="222"/>
      <c r="K49" s="222"/>
      <c r="L49" s="222"/>
      <c r="M49" s="223"/>
      <c r="N49" s="222"/>
      <c r="O49" s="223"/>
      <c r="P49" s="222"/>
      <c r="Q49" s="223"/>
      <c r="R49" s="224"/>
      <c r="S49" s="226"/>
      <c r="T49" s="224"/>
      <c r="U49" s="226"/>
      <c r="V49" s="224"/>
      <c r="W49" s="225"/>
      <c r="X49" s="225"/>
      <c r="Y49" s="225"/>
      <c r="Z49" s="225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</row>
    <row r="50" ht="15.75" customHeight="1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4"/>
      <c r="S50" s="224"/>
      <c r="T50" s="224"/>
      <c r="U50" s="224"/>
      <c r="V50" s="224"/>
      <c r="W50" s="225"/>
      <c r="X50" s="225"/>
      <c r="Y50" s="225"/>
      <c r="Z50" s="225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</row>
    <row r="51" ht="15.7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5"/>
      <c r="X51" s="225"/>
      <c r="Y51" s="225"/>
      <c r="Z51" s="225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</row>
    <row r="52" ht="15.75" customHeight="1">
      <c r="A52" s="227"/>
      <c r="V52" s="224"/>
      <c r="W52" s="225"/>
      <c r="X52" s="225"/>
      <c r="Y52" s="225"/>
      <c r="Z52" s="225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</row>
    <row r="53" ht="15.75" customHeight="1">
      <c r="A53" s="222"/>
      <c r="B53" s="228"/>
      <c r="V53" s="224"/>
      <c r="W53" s="225"/>
      <c r="X53" s="225"/>
      <c r="Y53" s="225"/>
      <c r="Z53" s="225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</row>
    <row r="54" ht="15.75" customHeight="1">
      <c r="A54" s="222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4"/>
      <c r="W54" s="225"/>
      <c r="X54" s="225"/>
      <c r="Y54" s="225"/>
      <c r="Z54" s="225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ht="15.75" customHeight="1">
      <c r="A55" s="223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4"/>
      <c r="R55" s="224"/>
      <c r="S55" s="224"/>
      <c r="T55" s="224"/>
      <c r="U55" s="224"/>
      <c r="V55" s="224"/>
      <c r="W55" s="225"/>
      <c r="X55" s="225"/>
      <c r="Y55" s="225"/>
      <c r="Z55" s="225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</row>
    <row r="56" ht="15.75" customHeight="1">
      <c r="A56" s="223"/>
      <c r="B56" s="223"/>
      <c r="C56" s="222"/>
      <c r="D56" s="223"/>
      <c r="E56" s="222"/>
      <c r="F56" s="223"/>
      <c r="G56" s="222"/>
      <c r="H56" s="222"/>
      <c r="I56" s="222"/>
      <c r="J56" s="222"/>
      <c r="K56" s="222"/>
      <c r="L56" s="222"/>
      <c r="M56" s="223"/>
      <c r="N56" s="222"/>
      <c r="O56" s="223"/>
      <c r="P56" s="222"/>
      <c r="Q56" s="223"/>
      <c r="R56" s="224"/>
      <c r="S56" s="223"/>
      <c r="T56" s="224"/>
      <c r="U56" s="223"/>
      <c r="V56" s="224"/>
      <c r="W56" s="225"/>
      <c r="X56" s="225"/>
      <c r="Y56" s="225"/>
      <c r="Z56" s="225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ht="15.75" customHeight="1">
      <c r="A57" s="223"/>
      <c r="B57" s="223"/>
      <c r="C57" s="222"/>
      <c r="D57" s="223"/>
      <c r="E57" s="222"/>
      <c r="F57" s="223"/>
      <c r="G57" s="222"/>
      <c r="H57" s="222"/>
      <c r="I57" s="222"/>
      <c r="J57" s="222"/>
      <c r="K57" s="222"/>
      <c r="L57" s="222"/>
      <c r="M57" s="223"/>
      <c r="N57" s="222"/>
      <c r="O57" s="223"/>
      <c r="P57" s="222"/>
      <c r="Q57" s="223"/>
      <c r="R57" s="224"/>
      <c r="S57" s="223"/>
      <c r="T57" s="224"/>
      <c r="U57" s="223"/>
      <c r="V57" s="224"/>
      <c r="W57" s="225"/>
      <c r="X57" s="225"/>
      <c r="Y57" s="225"/>
      <c r="Z57" s="225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</row>
    <row r="58" ht="15.75" customHeight="1">
      <c r="A58" s="223"/>
      <c r="B58" s="223"/>
      <c r="C58" s="222"/>
      <c r="D58" s="223"/>
      <c r="E58" s="222"/>
      <c r="F58" s="223"/>
      <c r="G58" s="222"/>
      <c r="H58" s="222"/>
      <c r="I58" s="222"/>
      <c r="J58" s="222"/>
      <c r="K58" s="222"/>
      <c r="L58" s="222"/>
      <c r="M58" s="223"/>
      <c r="N58" s="222"/>
      <c r="O58" s="223"/>
      <c r="P58" s="222"/>
      <c r="Q58" s="223"/>
      <c r="R58" s="224"/>
      <c r="S58" s="223"/>
      <c r="T58" s="224"/>
      <c r="U58" s="223"/>
      <c r="V58" s="224"/>
      <c r="W58" s="225"/>
      <c r="X58" s="225"/>
      <c r="Y58" s="225"/>
      <c r="Z58" s="225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</row>
    <row r="59" ht="15.75" customHeight="1">
      <c r="A59" s="223"/>
      <c r="B59" s="223"/>
      <c r="C59" s="222"/>
      <c r="D59" s="223"/>
      <c r="E59" s="222"/>
      <c r="F59" s="223"/>
      <c r="G59" s="222"/>
      <c r="H59" s="222"/>
      <c r="I59" s="222"/>
      <c r="J59" s="222"/>
      <c r="K59" s="222"/>
      <c r="L59" s="222"/>
      <c r="M59" s="223"/>
      <c r="N59" s="222"/>
      <c r="O59" s="223"/>
      <c r="P59" s="222"/>
      <c r="Q59" s="223"/>
      <c r="R59" s="224"/>
      <c r="S59" s="223"/>
      <c r="T59" s="224"/>
      <c r="U59" s="223"/>
      <c r="V59" s="224"/>
      <c r="W59" s="225"/>
      <c r="X59" s="225"/>
      <c r="Y59" s="225"/>
      <c r="Z59" s="225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</row>
    <row r="60" ht="15.75" customHeight="1">
      <c r="A60" s="223"/>
      <c r="B60" s="223"/>
      <c r="C60" s="222"/>
      <c r="D60" s="223"/>
      <c r="E60" s="222"/>
      <c r="F60" s="223"/>
      <c r="G60" s="222"/>
      <c r="H60" s="222"/>
      <c r="I60" s="222"/>
      <c r="J60" s="222"/>
      <c r="K60" s="222"/>
      <c r="L60" s="222"/>
      <c r="M60" s="223"/>
      <c r="N60" s="222"/>
      <c r="O60" s="223"/>
      <c r="P60" s="222"/>
      <c r="Q60" s="223"/>
      <c r="R60" s="224"/>
      <c r="S60" s="223"/>
      <c r="T60" s="224"/>
      <c r="U60" s="223"/>
      <c r="V60" s="224"/>
      <c r="W60" s="225"/>
      <c r="X60" s="225"/>
      <c r="Y60" s="225"/>
      <c r="Z60" s="225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</row>
    <row r="61" ht="15.75" customHeight="1">
      <c r="A61" s="223"/>
      <c r="B61" s="223"/>
      <c r="C61" s="222"/>
      <c r="D61" s="223"/>
      <c r="E61" s="222"/>
      <c r="F61" s="223"/>
      <c r="G61" s="222"/>
      <c r="H61" s="222"/>
      <c r="I61" s="222"/>
      <c r="J61" s="222"/>
      <c r="K61" s="222"/>
      <c r="L61" s="222"/>
      <c r="M61" s="223"/>
      <c r="N61" s="222"/>
      <c r="O61" s="223"/>
      <c r="P61" s="222"/>
      <c r="Q61" s="223"/>
      <c r="R61" s="224"/>
      <c r="S61" s="223"/>
      <c r="T61" s="224"/>
      <c r="U61" s="223"/>
      <c r="V61" s="224"/>
      <c r="W61" s="225"/>
      <c r="X61" s="225"/>
      <c r="Y61" s="225"/>
      <c r="Z61" s="225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ht="15.75" customHeight="1">
      <c r="A62" s="223"/>
      <c r="B62" s="223"/>
      <c r="C62" s="222"/>
      <c r="D62" s="223"/>
      <c r="E62" s="222"/>
      <c r="F62" s="223"/>
      <c r="G62" s="222"/>
      <c r="H62" s="222"/>
      <c r="I62" s="222"/>
      <c r="J62" s="222"/>
      <c r="K62" s="222"/>
      <c r="L62" s="222"/>
      <c r="M62" s="223"/>
      <c r="N62" s="222"/>
      <c r="O62" s="223"/>
      <c r="P62" s="222"/>
      <c r="Q62" s="223"/>
      <c r="R62" s="224"/>
      <c r="S62" s="223"/>
      <c r="T62" s="224"/>
      <c r="U62" s="223"/>
      <c r="V62" s="224"/>
      <c r="W62" s="225"/>
      <c r="X62" s="225"/>
      <c r="Y62" s="225"/>
      <c r="Z62" s="225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</row>
    <row r="63" ht="15.75" customHeight="1">
      <c r="A63" s="223"/>
      <c r="B63" s="223"/>
      <c r="C63" s="222"/>
      <c r="D63" s="223"/>
      <c r="E63" s="222"/>
      <c r="F63" s="223"/>
      <c r="G63" s="222"/>
      <c r="H63" s="222"/>
      <c r="I63" s="222"/>
      <c r="J63" s="222"/>
      <c r="K63" s="222"/>
      <c r="L63" s="222"/>
      <c r="M63" s="223"/>
      <c r="N63" s="222"/>
      <c r="O63" s="223"/>
      <c r="P63" s="222"/>
      <c r="Q63" s="223"/>
      <c r="R63" s="224"/>
      <c r="S63" s="223"/>
      <c r="T63" s="224"/>
      <c r="U63" s="223"/>
      <c r="V63" s="224"/>
      <c r="W63" s="225"/>
      <c r="X63" s="225"/>
      <c r="Y63" s="225"/>
      <c r="Z63" s="225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</row>
    <row r="64" ht="15.75" customHeight="1">
      <c r="A64" s="223"/>
      <c r="B64" s="223"/>
      <c r="C64" s="222"/>
      <c r="D64" s="223"/>
      <c r="E64" s="222"/>
      <c r="F64" s="223"/>
      <c r="G64" s="222"/>
      <c r="H64" s="222"/>
      <c r="I64" s="222"/>
      <c r="J64" s="222"/>
      <c r="K64" s="222"/>
      <c r="L64" s="222"/>
      <c r="M64" s="223"/>
      <c r="N64" s="222"/>
      <c r="O64" s="223"/>
      <c r="P64" s="222"/>
      <c r="Q64" s="223"/>
      <c r="R64" s="224"/>
      <c r="S64" s="223"/>
      <c r="T64" s="224"/>
      <c r="U64" s="223"/>
      <c r="V64" s="224"/>
      <c r="W64" s="225"/>
      <c r="X64" s="225"/>
      <c r="Y64" s="225"/>
      <c r="Z64" s="225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</row>
    <row r="65" ht="15.75" customHeight="1">
      <c r="A65" s="223"/>
      <c r="B65" s="223"/>
      <c r="C65" s="222"/>
      <c r="D65" s="223"/>
      <c r="E65" s="222"/>
      <c r="F65" s="223"/>
      <c r="G65" s="222"/>
      <c r="H65" s="222"/>
      <c r="I65" s="222"/>
      <c r="J65" s="222"/>
      <c r="K65" s="222"/>
      <c r="L65" s="222"/>
      <c r="M65" s="223"/>
      <c r="N65" s="222"/>
      <c r="O65" s="223"/>
      <c r="P65" s="222"/>
      <c r="Q65" s="223"/>
      <c r="R65" s="224"/>
      <c r="S65" s="223"/>
      <c r="T65" s="224"/>
      <c r="U65" s="226"/>
      <c r="V65" s="224"/>
      <c r="W65" s="225"/>
      <c r="X65" s="225"/>
      <c r="Y65" s="225"/>
      <c r="Z65" s="225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</row>
    <row r="66" ht="15.75" customHeight="1">
      <c r="A66" s="223"/>
      <c r="B66" s="223"/>
      <c r="C66" s="222"/>
      <c r="D66" s="223"/>
      <c r="E66" s="222"/>
      <c r="F66" s="223"/>
      <c r="G66" s="222"/>
      <c r="H66" s="222"/>
      <c r="I66" s="222"/>
      <c r="J66" s="222"/>
      <c r="K66" s="222"/>
      <c r="L66" s="222"/>
      <c r="M66" s="223"/>
      <c r="N66" s="222"/>
      <c r="O66" s="223"/>
      <c r="P66" s="222"/>
      <c r="Q66" s="223"/>
      <c r="R66" s="224"/>
      <c r="S66" s="223"/>
      <c r="T66" s="224"/>
      <c r="U66" s="226"/>
      <c r="V66" s="224"/>
      <c r="W66" s="225"/>
      <c r="X66" s="225"/>
      <c r="Y66" s="225"/>
      <c r="Z66" s="225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</row>
    <row r="67" ht="15.75" customHeight="1">
      <c r="A67" s="223"/>
      <c r="B67" s="223"/>
      <c r="C67" s="222"/>
      <c r="D67" s="223"/>
      <c r="E67" s="222"/>
      <c r="F67" s="223"/>
      <c r="G67" s="222"/>
      <c r="H67" s="222"/>
      <c r="I67" s="222"/>
      <c r="J67" s="222"/>
      <c r="K67" s="222"/>
      <c r="L67" s="222"/>
      <c r="M67" s="223"/>
      <c r="N67" s="222"/>
      <c r="O67" s="223"/>
      <c r="P67" s="222"/>
      <c r="Q67" s="223"/>
      <c r="R67" s="224"/>
      <c r="S67" s="226"/>
      <c r="T67" s="224"/>
      <c r="U67" s="226"/>
      <c r="V67" s="224"/>
      <c r="W67" s="225"/>
      <c r="X67" s="225"/>
      <c r="Y67" s="225"/>
      <c r="Z67" s="225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</row>
    <row r="68" ht="15.75" customHeight="1">
      <c r="A68" s="223"/>
      <c r="B68" s="223"/>
      <c r="C68" s="222"/>
      <c r="D68" s="223"/>
      <c r="E68" s="222"/>
      <c r="F68" s="223"/>
      <c r="G68" s="222"/>
      <c r="H68" s="222"/>
      <c r="I68" s="222"/>
      <c r="J68" s="222"/>
      <c r="K68" s="222"/>
      <c r="L68" s="222"/>
      <c r="M68" s="223"/>
      <c r="N68" s="222"/>
      <c r="O68" s="223"/>
      <c r="P68" s="222"/>
      <c r="Q68" s="223"/>
      <c r="R68" s="224"/>
      <c r="S68" s="226"/>
      <c r="T68" s="224"/>
      <c r="U68" s="226"/>
      <c r="V68" s="224"/>
      <c r="W68" s="225"/>
      <c r="X68" s="225"/>
      <c r="Y68" s="225"/>
      <c r="Z68" s="225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</row>
    <row r="69" ht="15.75" customHeight="1">
      <c r="A69" s="223"/>
      <c r="B69" s="223"/>
      <c r="C69" s="222"/>
      <c r="D69" s="223"/>
      <c r="E69" s="222"/>
      <c r="F69" s="223"/>
      <c r="G69" s="222"/>
      <c r="H69" s="222"/>
      <c r="I69" s="222"/>
      <c r="J69" s="222"/>
      <c r="K69" s="222"/>
      <c r="L69" s="222"/>
      <c r="M69" s="223"/>
      <c r="N69" s="222"/>
      <c r="O69" s="223"/>
      <c r="P69" s="222"/>
      <c r="Q69" s="223"/>
      <c r="R69" s="224"/>
      <c r="S69" s="226"/>
      <c r="T69" s="224"/>
      <c r="U69" s="226"/>
      <c r="V69" s="224"/>
      <c r="W69" s="225"/>
      <c r="X69" s="225"/>
      <c r="Y69" s="225"/>
      <c r="Z69" s="225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ht="15.75" customHeight="1">
      <c r="A70" s="223"/>
      <c r="B70" s="223"/>
      <c r="C70" s="222"/>
      <c r="D70" s="223"/>
      <c r="E70" s="222"/>
      <c r="F70" s="223"/>
      <c r="G70" s="222"/>
      <c r="H70" s="222"/>
      <c r="I70" s="222"/>
      <c r="J70" s="222"/>
      <c r="K70" s="222"/>
      <c r="L70" s="222"/>
      <c r="M70" s="223"/>
      <c r="N70" s="222"/>
      <c r="O70" s="223"/>
      <c r="P70" s="222"/>
      <c r="Q70" s="223"/>
      <c r="R70" s="224"/>
      <c r="S70" s="226"/>
      <c r="T70" s="224"/>
      <c r="U70" s="226"/>
      <c r="V70" s="224"/>
      <c r="W70" s="225"/>
      <c r="X70" s="225"/>
      <c r="Y70" s="225"/>
      <c r="Z70" s="225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</row>
    <row r="71" ht="15.75" customHeight="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4"/>
      <c r="S71" s="224"/>
      <c r="T71" s="224"/>
      <c r="U71" s="224"/>
      <c r="V71" s="224"/>
      <c r="W71" s="225"/>
      <c r="X71" s="225"/>
      <c r="Y71" s="225"/>
      <c r="Z71" s="225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</row>
    <row r="72" ht="15.75" customHeight="1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5"/>
      <c r="X72" s="225"/>
      <c r="Y72" s="225"/>
      <c r="Z72" s="225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ht="15.75" customHeight="1">
      <c r="A73" s="227"/>
      <c r="V73" s="224"/>
      <c r="W73" s="225"/>
      <c r="X73" s="225"/>
      <c r="Y73" s="225"/>
      <c r="Z73" s="225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</row>
    <row r="74" ht="15.75" customHeight="1">
      <c r="A74" s="222"/>
      <c r="B74" s="228"/>
      <c r="V74" s="224"/>
      <c r="W74" s="225"/>
      <c r="X74" s="225"/>
      <c r="Y74" s="225"/>
      <c r="Z74" s="225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ht="15.75" customHeight="1">
      <c r="A75" s="222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4"/>
      <c r="W75" s="225"/>
      <c r="X75" s="225"/>
      <c r="Y75" s="225"/>
      <c r="Z75" s="225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</row>
    <row r="76" ht="15.75" customHeight="1">
      <c r="A76" s="223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4"/>
      <c r="S76" s="224"/>
      <c r="T76" s="224"/>
      <c r="U76" s="224"/>
      <c r="V76" s="224"/>
      <c r="W76" s="225"/>
      <c r="X76" s="225"/>
      <c r="Y76" s="225"/>
      <c r="Z76" s="225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ht="15.75" customHeight="1">
      <c r="A77" s="223"/>
      <c r="B77" s="223"/>
      <c r="C77" s="222"/>
      <c r="D77" s="223"/>
      <c r="E77" s="222"/>
      <c r="F77" s="223"/>
      <c r="G77" s="222"/>
      <c r="H77" s="222"/>
      <c r="I77" s="222"/>
      <c r="J77" s="222"/>
      <c r="K77" s="222"/>
      <c r="L77" s="222"/>
      <c r="M77" s="223"/>
      <c r="N77" s="222"/>
      <c r="O77" s="223"/>
      <c r="P77" s="222"/>
      <c r="Q77" s="223"/>
      <c r="R77" s="224"/>
      <c r="S77" s="223"/>
      <c r="T77" s="224"/>
      <c r="U77" s="223"/>
      <c r="V77" s="224"/>
      <c r="W77" s="225"/>
      <c r="X77" s="225"/>
      <c r="Y77" s="225"/>
      <c r="Z77" s="225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</row>
    <row r="78" ht="15.75" customHeight="1">
      <c r="A78" s="223"/>
      <c r="B78" s="223"/>
      <c r="C78" s="222"/>
      <c r="D78" s="223"/>
      <c r="E78" s="222"/>
      <c r="F78" s="223"/>
      <c r="G78" s="222"/>
      <c r="H78" s="222"/>
      <c r="I78" s="222"/>
      <c r="J78" s="222"/>
      <c r="K78" s="222"/>
      <c r="L78" s="222"/>
      <c r="M78" s="223"/>
      <c r="N78" s="222"/>
      <c r="O78" s="223"/>
      <c r="P78" s="222"/>
      <c r="Q78" s="223"/>
      <c r="R78" s="224"/>
      <c r="S78" s="223"/>
      <c r="T78" s="224"/>
      <c r="U78" s="223"/>
      <c r="V78" s="224"/>
      <c r="W78" s="225"/>
      <c r="X78" s="225"/>
      <c r="Y78" s="225"/>
      <c r="Z78" s="225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</row>
    <row r="79" ht="15.75" customHeight="1">
      <c r="A79" s="223"/>
      <c r="B79" s="223"/>
      <c r="C79" s="222"/>
      <c r="D79" s="223"/>
      <c r="E79" s="222"/>
      <c r="F79" s="223"/>
      <c r="G79" s="222"/>
      <c r="H79" s="222"/>
      <c r="I79" s="222"/>
      <c r="J79" s="222"/>
      <c r="K79" s="222"/>
      <c r="L79" s="222"/>
      <c r="M79" s="223"/>
      <c r="N79" s="222"/>
      <c r="O79" s="223"/>
      <c r="P79" s="222"/>
      <c r="Q79" s="223"/>
      <c r="R79" s="224"/>
      <c r="S79" s="223"/>
      <c r="T79" s="224"/>
      <c r="U79" s="223"/>
      <c r="V79" s="224"/>
      <c r="W79" s="225"/>
      <c r="X79" s="225"/>
      <c r="Y79" s="225"/>
      <c r="Z79" s="225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</row>
    <row r="80" ht="15.75" customHeight="1">
      <c r="A80" s="223"/>
      <c r="B80" s="223"/>
      <c r="C80" s="222"/>
      <c r="D80" s="223"/>
      <c r="E80" s="222"/>
      <c r="F80" s="223"/>
      <c r="G80" s="222"/>
      <c r="H80" s="222"/>
      <c r="I80" s="222"/>
      <c r="J80" s="222"/>
      <c r="K80" s="222"/>
      <c r="L80" s="222"/>
      <c r="M80" s="223"/>
      <c r="N80" s="222"/>
      <c r="O80" s="223"/>
      <c r="P80" s="222"/>
      <c r="Q80" s="223"/>
      <c r="R80" s="224"/>
      <c r="S80" s="223"/>
      <c r="T80" s="224"/>
      <c r="U80" s="223"/>
      <c r="V80" s="224"/>
      <c r="W80" s="225"/>
      <c r="X80" s="225"/>
      <c r="Y80" s="225"/>
      <c r="Z80" s="225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</row>
    <row r="81" ht="15.75" customHeight="1">
      <c r="A81" s="223"/>
      <c r="B81" s="223"/>
      <c r="C81" s="222"/>
      <c r="D81" s="223"/>
      <c r="E81" s="222"/>
      <c r="F81" s="223"/>
      <c r="G81" s="222"/>
      <c r="H81" s="222"/>
      <c r="I81" s="222"/>
      <c r="J81" s="222"/>
      <c r="K81" s="222"/>
      <c r="L81" s="222"/>
      <c r="M81" s="223"/>
      <c r="N81" s="222"/>
      <c r="O81" s="223"/>
      <c r="P81" s="222"/>
      <c r="Q81" s="223"/>
      <c r="R81" s="224"/>
      <c r="S81" s="223"/>
      <c r="T81" s="224"/>
      <c r="U81" s="223"/>
      <c r="V81" s="224"/>
      <c r="W81" s="225"/>
      <c r="X81" s="225"/>
      <c r="Y81" s="225"/>
      <c r="Z81" s="225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</row>
    <row r="82" ht="15.75" customHeight="1">
      <c r="A82" s="223"/>
      <c r="B82" s="223"/>
      <c r="C82" s="222"/>
      <c r="D82" s="223"/>
      <c r="E82" s="222"/>
      <c r="F82" s="223"/>
      <c r="G82" s="222"/>
      <c r="H82" s="222"/>
      <c r="I82" s="222"/>
      <c r="J82" s="222"/>
      <c r="K82" s="222"/>
      <c r="L82" s="222"/>
      <c r="M82" s="223"/>
      <c r="N82" s="222"/>
      <c r="O82" s="223"/>
      <c r="P82" s="222"/>
      <c r="Q82" s="223"/>
      <c r="R82" s="224"/>
      <c r="S82" s="223"/>
      <c r="T82" s="224"/>
      <c r="U82" s="223"/>
      <c r="V82" s="224"/>
      <c r="W82" s="225"/>
      <c r="X82" s="225"/>
      <c r="Y82" s="225"/>
      <c r="Z82" s="225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ht="15.75" customHeight="1">
      <c r="A83" s="223"/>
      <c r="B83" s="223"/>
      <c r="C83" s="222"/>
      <c r="D83" s="223"/>
      <c r="E83" s="222"/>
      <c r="F83" s="223"/>
      <c r="G83" s="222"/>
      <c r="H83" s="222"/>
      <c r="I83" s="222"/>
      <c r="J83" s="222"/>
      <c r="K83" s="222"/>
      <c r="L83" s="222"/>
      <c r="M83" s="223"/>
      <c r="N83" s="222"/>
      <c r="O83" s="223"/>
      <c r="P83" s="222"/>
      <c r="Q83" s="223"/>
      <c r="R83" s="224"/>
      <c r="S83" s="223"/>
      <c r="T83" s="224"/>
      <c r="U83" s="223"/>
      <c r="V83" s="224"/>
      <c r="W83" s="225"/>
      <c r="X83" s="225"/>
      <c r="Y83" s="225"/>
      <c r="Z83" s="225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</row>
    <row r="84" ht="15.75" customHeight="1">
      <c r="A84" s="223"/>
      <c r="B84" s="223"/>
      <c r="C84" s="222"/>
      <c r="D84" s="223"/>
      <c r="E84" s="222"/>
      <c r="F84" s="223"/>
      <c r="G84" s="222"/>
      <c r="H84" s="222"/>
      <c r="I84" s="222"/>
      <c r="J84" s="222"/>
      <c r="K84" s="222"/>
      <c r="L84" s="222"/>
      <c r="M84" s="223"/>
      <c r="N84" s="222"/>
      <c r="O84" s="223"/>
      <c r="P84" s="222"/>
      <c r="Q84" s="223"/>
      <c r="R84" s="224"/>
      <c r="S84" s="223"/>
      <c r="T84" s="224"/>
      <c r="U84" s="223"/>
      <c r="V84" s="224"/>
      <c r="W84" s="225"/>
      <c r="X84" s="225"/>
      <c r="Y84" s="225"/>
      <c r="Z84" s="225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ht="15.75" customHeight="1">
      <c r="A85" s="223"/>
      <c r="B85" s="223"/>
      <c r="C85" s="222"/>
      <c r="D85" s="223"/>
      <c r="E85" s="222"/>
      <c r="F85" s="223"/>
      <c r="G85" s="222"/>
      <c r="H85" s="222"/>
      <c r="I85" s="222"/>
      <c r="J85" s="222"/>
      <c r="K85" s="222"/>
      <c r="L85" s="222"/>
      <c r="M85" s="223"/>
      <c r="N85" s="222"/>
      <c r="O85" s="223"/>
      <c r="P85" s="222"/>
      <c r="Q85" s="223"/>
      <c r="R85" s="224"/>
      <c r="S85" s="223"/>
      <c r="T85" s="224"/>
      <c r="U85" s="223"/>
      <c r="V85" s="224"/>
      <c r="W85" s="225"/>
      <c r="X85" s="225"/>
      <c r="Y85" s="225"/>
      <c r="Z85" s="225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</row>
    <row r="86" ht="15.75" customHeight="1">
      <c r="A86" s="223"/>
      <c r="B86" s="223"/>
      <c r="C86" s="222"/>
      <c r="D86" s="223"/>
      <c r="E86" s="222"/>
      <c r="F86" s="223"/>
      <c r="G86" s="222"/>
      <c r="H86" s="222"/>
      <c r="I86" s="222"/>
      <c r="J86" s="222"/>
      <c r="K86" s="222"/>
      <c r="L86" s="222"/>
      <c r="M86" s="223"/>
      <c r="N86" s="222"/>
      <c r="O86" s="223"/>
      <c r="P86" s="222"/>
      <c r="Q86" s="223"/>
      <c r="R86" s="224"/>
      <c r="S86" s="223"/>
      <c r="T86" s="224"/>
      <c r="U86" s="226"/>
      <c r="V86" s="224"/>
      <c r="W86" s="225"/>
      <c r="X86" s="225"/>
      <c r="Y86" s="225"/>
      <c r="Z86" s="225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</row>
    <row r="87" ht="15.75" customHeight="1">
      <c r="A87" s="223"/>
      <c r="B87" s="223"/>
      <c r="C87" s="222"/>
      <c r="D87" s="223"/>
      <c r="E87" s="222"/>
      <c r="F87" s="223"/>
      <c r="G87" s="222"/>
      <c r="H87" s="222"/>
      <c r="I87" s="222"/>
      <c r="J87" s="222"/>
      <c r="K87" s="222"/>
      <c r="L87" s="222"/>
      <c r="M87" s="223"/>
      <c r="N87" s="222"/>
      <c r="O87" s="223"/>
      <c r="P87" s="222"/>
      <c r="Q87" s="223"/>
      <c r="R87" s="224"/>
      <c r="S87" s="223"/>
      <c r="T87" s="224"/>
      <c r="U87" s="226"/>
      <c r="V87" s="224"/>
      <c r="W87" s="225"/>
      <c r="X87" s="225"/>
      <c r="Y87" s="225"/>
      <c r="Z87" s="225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ht="15.75" customHeight="1">
      <c r="A88" s="223"/>
      <c r="B88" s="223"/>
      <c r="C88" s="222"/>
      <c r="D88" s="223"/>
      <c r="E88" s="222"/>
      <c r="F88" s="223"/>
      <c r="G88" s="222"/>
      <c r="H88" s="222"/>
      <c r="I88" s="222"/>
      <c r="J88" s="222"/>
      <c r="K88" s="222"/>
      <c r="L88" s="222"/>
      <c r="M88" s="223"/>
      <c r="N88" s="222"/>
      <c r="O88" s="223"/>
      <c r="P88" s="222"/>
      <c r="Q88" s="223"/>
      <c r="R88" s="224"/>
      <c r="S88" s="226"/>
      <c r="T88" s="224"/>
      <c r="U88" s="226"/>
      <c r="V88" s="224"/>
      <c r="W88" s="225"/>
      <c r="X88" s="225"/>
      <c r="Y88" s="225"/>
      <c r="Z88" s="225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</row>
    <row r="89" ht="15.75" customHeight="1">
      <c r="A89" s="223"/>
      <c r="B89" s="223"/>
      <c r="C89" s="222"/>
      <c r="D89" s="223"/>
      <c r="E89" s="222"/>
      <c r="F89" s="223"/>
      <c r="G89" s="222"/>
      <c r="H89" s="222"/>
      <c r="I89" s="222"/>
      <c r="J89" s="222"/>
      <c r="K89" s="222"/>
      <c r="L89" s="222"/>
      <c r="M89" s="223"/>
      <c r="N89" s="222"/>
      <c r="O89" s="223"/>
      <c r="P89" s="222"/>
      <c r="Q89" s="223"/>
      <c r="R89" s="224"/>
      <c r="S89" s="226"/>
      <c r="T89" s="224"/>
      <c r="U89" s="226"/>
      <c r="V89" s="224"/>
      <c r="W89" s="225"/>
      <c r="X89" s="225"/>
      <c r="Y89" s="225"/>
      <c r="Z89" s="225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</row>
    <row r="90" ht="15.75" customHeight="1">
      <c r="A90" s="223"/>
      <c r="B90" s="223"/>
      <c r="C90" s="222"/>
      <c r="D90" s="223"/>
      <c r="E90" s="222"/>
      <c r="F90" s="223"/>
      <c r="G90" s="222"/>
      <c r="H90" s="222"/>
      <c r="I90" s="222"/>
      <c r="J90" s="222"/>
      <c r="K90" s="222"/>
      <c r="L90" s="222"/>
      <c r="M90" s="223"/>
      <c r="N90" s="222"/>
      <c r="O90" s="223"/>
      <c r="P90" s="222"/>
      <c r="Q90" s="223"/>
      <c r="R90" s="224"/>
      <c r="S90" s="226"/>
      <c r="T90" s="224"/>
      <c r="U90" s="226"/>
      <c r="V90" s="224"/>
      <c r="W90" s="225"/>
      <c r="X90" s="225"/>
      <c r="Y90" s="225"/>
      <c r="Z90" s="225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ht="15.75" customHeight="1">
      <c r="A91" s="223"/>
      <c r="B91" s="223"/>
      <c r="C91" s="222"/>
      <c r="D91" s="223"/>
      <c r="E91" s="222"/>
      <c r="F91" s="223"/>
      <c r="G91" s="222"/>
      <c r="H91" s="222"/>
      <c r="I91" s="222"/>
      <c r="J91" s="222"/>
      <c r="K91" s="222"/>
      <c r="L91" s="222"/>
      <c r="M91" s="223"/>
      <c r="N91" s="222"/>
      <c r="O91" s="223"/>
      <c r="P91" s="222"/>
      <c r="Q91" s="223"/>
      <c r="R91" s="224"/>
      <c r="S91" s="226"/>
      <c r="T91" s="224"/>
      <c r="U91" s="226"/>
      <c r="V91" s="224"/>
      <c r="W91" s="225"/>
      <c r="X91" s="225"/>
      <c r="Y91" s="225"/>
      <c r="Z91" s="225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</row>
    <row r="92" ht="15.75" customHeight="1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4"/>
      <c r="S92" s="224"/>
      <c r="T92" s="224"/>
      <c r="U92" s="224"/>
      <c r="V92" s="224"/>
      <c r="W92" s="225"/>
      <c r="X92" s="225"/>
      <c r="Y92" s="225"/>
      <c r="Z92" s="225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</row>
    <row r="93" ht="15.75" customHeight="1">
      <c r="A93" s="227"/>
      <c r="V93" s="224"/>
      <c r="W93" s="225"/>
      <c r="X93" s="225"/>
      <c r="Y93" s="225"/>
      <c r="Z93" s="225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</row>
    <row r="94" ht="15.75" customHeight="1">
      <c r="A94" s="222"/>
      <c r="B94" s="228"/>
      <c r="V94" s="224"/>
      <c r="W94" s="225"/>
      <c r="X94" s="225"/>
      <c r="Y94" s="225"/>
      <c r="Z94" s="225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ht="15.75" customHeight="1">
      <c r="A95" s="222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4"/>
      <c r="W95" s="225"/>
      <c r="X95" s="225"/>
      <c r="Y95" s="225"/>
      <c r="Z95" s="225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</row>
    <row r="96" ht="15.75" customHeight="1">
      <c r="A96" s="223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4"/>
      <c r="S96" s="224"/>
      <c r="T96" s="224"/>
      <c r="U96" s="224"/>
      <c r="V96" s="224"/>
      <c r="W96" s="225"/>
      <c r="X96" s="225"/>
      <c r="Y96" s="225"/>
      <c r="Z96" s="225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ht="15.75" customHeight="1">
      <c r="A97" s="223"/>
      <c r="B97" s="229"/>
      <c r="C97" s="222"/>
      <c r="D97" s="229"/>
      <c r="E97" s="222"/>
      <c r="F97" s="229"/>
      <c r="G97" s="222"/>
      <c r="H97" s="222"/>
      <c r="I97" s="222"/>
      <c r="J97" s="222"/>
      <c r="K97" s="222"/>
      <c r="L97" s="222"/>
      <c r="M97" s="229"/>
      <c r="N97" s="222"/>
      <c r="O97" s="229"/>
      <c r="P97" s="222"/>
      <c r="Q97" s="229"/>
      <c r="R97" s="224"/>
      <c r="S97" s="229"/>
      <c r="T97" s="224"/>
      <c r="U97" s="229"/>
      <c r="V97" s="224"/>
      <c r="W97" s="225"/>
      <c r="X97" s="225"/>
      <c r="Y97" s="225"/>
      <c r="Z97" s="225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ht="15.75" customHeight="1">
      <c r="A98" s="223"/>
      <c r="B98" s="229"/>
      <c r="C98" s="222"/>
      <c r="D98" s="229"/>
      <c r="E98" s="222"/>
      <c r="F98" s="229"/>
      <c r="G98" s="222"/>
      <c r="H98" s="222"/>
      <c r="I98" s="222"/>
      <c r="J98" s="222"/>
      <c r="K98" s="222"/>
      <c r="L98" s="222"/>
      <c r="M98" s="229"/>
      <c r="N98" s="222"/>
      <c r="O98" s="229"/>
      <c r="P98" s="222"/>
      <c r="Q98" s="229"/>
      <c r="R98" s="224"/>
      <c r="S98" s="229"/>
      <c r="T98" s="224"/>
      <c r="U98" s="229"/>
      <c r="V98" s="224"/>
      <c r="W98" s="225"/>
      <c r="X98" s="225"/>
      <c r="Y98" s="225"/>
      <c r="Z98" s="225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ht="15.75" customHeight="1">
      <c r="A99" s="223"/>
      <c r="B99" s="229"/>
      <c r="C99" s="222"/>
      <c r="D99" s="229"/>
      <c r="E99" s="222"/>
      <c r="F99" s="229"/>
      <c r="G99" s="222"/>
      <c r="H99" s="222"/>
      <c r="I99" s="222"/>
      <c r="J99" s="222"/>
      <c r="K99" s="222"/>
      <c r="L99" s="222"/>
      <c r="M99" s="229"/>
      <c r="N99" s="222"/>
      <c r="O99" s="229"/>
      <c r="P99" s="222"/>
      <c r="Q99" s="229"/>
      <c r="R99" s="224"/>
      <c r="S99" s="229"/>
      <c r="T99" s="224"/>
      <c r="U99" s="229"/>
      <c r="V99" s="224"/>
      <c r="W99" s="225"/>
      <c r="X99" s="225"/>
      <c r="Y99" s="225"/>
      <c r="Z99" s="225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ht="15.75" customHeight="1">
      <c r="A100" s="223"/>
      <c r="B100" s="229"/>
      <c r="C100" s="222"/>
      <c r="D100" s="229"/>
      <c r="E100" s="222"/>
      <c r="F100" s="229"/>
      <c r="G100" s="222"/>
      <c r="H100" s="222"/>
      <c r="I100" s="222"/>
      <c r="J100" s="222"/>
      <c r="K100" s="222"/>
      <c r="L100" s="222"/>
      <c r="M100" s="229"/>
      <c r="N100" s="222"/>
      <c r="O100" s="229"/>
      <c r="P100" s="222"/>
      <c r="Q100" s="229"/>
      <c r="R100" s="224"/>
      <c r="S100" s="229"/>
      <c r="T100" s="224"/>
      <c r="U100" s="229"/>
      <c r="V100" s="224"/>
      <c r="W100" s="225"/>
      <c r="X100" s="225"/>
      <c r="Y100" s="225"/>
      <c r="Z100" s="225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ht="15.75" customHeight="1">
      <c r="A101" s="223"/>
      <c r="B101" s="229"/>
      <c r="C101" s="222"/>
      <c r="D101" s="229"/>
      <c r="E101" s="222"/>
      <c r="F101" s="229"/>
      <c r="G101" s="222"/>
      <c r="H101" s="222"/>
      <c r="I101" s="222"/>
      <c r="J101" s="222"/>
      <c r="K101" s="222"/>
      <c r="L101" s="222"/>
      <c r="M101" s="229"/>
      <c r="N101" s="222"/>
      <c r="O101" s="229"/>
      <c r="P101" s="222"/>
      <c r="Q101" s="229"/>
      <c r="R101" s="224"/>
      <c r="S101" s="229"/>
      <c r="T101" s="224"/>
      <c r="U101" s="229"/>
      <c r="V101" s="224"/>
      <c r="W101" s="225"/>
      <c r="X101" s="225"/>
      <c r="Y101" s="225"/>
      <c r="Z101" s="225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ht="15.75" customHeight="1">
      <c r="A102" s="223"/>
      <c r="B102" s="229"/>
      <c r="C102" s="230"/>
      <c r="D102" s="229"/>
      <c r="E102" s="230"/>
      <c r="F102" s="229"/>
      <c r="G102" s="230"/>
      <c r="H102" s="230"/>
      <c r="I102" s="230"/>
      <c r="J102" s="230"/>
      <c r="K102" s="230"/>
      <c r="L102" s="230"/>
      <c r="M102" s="229"/>
      <c r="N102" s="230"/>
      <c r="O102" s="229"/>
      <c r="P102" s="222"/>
      <c r="Q102" s="229"/>
      <c r="R102" s="229"/>
      <c r="S102" s="229"/>
      <c r="T102" s="229"/>
      <c r="U102" s="229"/>
      <c r="V102" s="224"/>
      <c r="W102" s="225"/>
      <c r="X102" s="225"/>
      <c r="Y102" s="225"/>
      <c r="Z102" s="225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ht="15.75" customHeight="1">
      <c r="A103" s="223"/>
      <c r="B103" s="229"/>
      <c r="C103" s="230"/>
      <c r="D103" s="229"/>
      <c r="E103" s="230"/>
      <c r="F103" s="229"/>
      <c r="G103" s="230"/>
      <c r="H103" s="230"/>
      <c r="I103" s="230"/>
      <c r="J103" s="230"/>
      <c r="K103" s="230"/>
      <c r="L103" s="230"/>
      <c r="M103" s="229"/>
      <c r="N103" s="230"/>
      <c r="O103" s="229"/>
      <c r="P103" s="222"/>
      <c r="Q103" s="229"/>
      <c r="R103" s="229"/>
      <c r="S103" s="229"/>
      <c r="T103" s="229"/>
      <c r="U103" s="229"/>
      <c r="V103" s="224"/>
      <c r="W103" s="225"/>
      <c r="X103" s="225"/>
      <c r="Y103" s="225"/>
      <c r="Z103" s="225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ht="15.75" customHeight="1">
      <c r="A104" s="223"/>
      <c r="B104" s="229"/>
      <c r="C104" s="230"/>
      <c r="D104" s="229"/>
      <c r="E104" s="230"/>
      <c r="F104" s="229"/>
      <c r="G104" s="230"/>
      <c r="H104" s="230"/>
      <c r="I104" s="230"/>
      <c r="J104" s="230"/>
      <c r="K104" s="230"/>
      <c r="L104" s="230"/>
      <c r="M104" s="229"/>
      <c r="N104" s="230"/>
      <c r="O104" s="229"/>
      <c r="P104" s="222"/>
      <c r="Q104" s="229"/>
      <c r="R104" s="229"/>
      <c r="S104" s="229"/>
      <c r="T104" s="229"/>
      <c r="U104" s="229"/>
      <c r="V104" s="224"/>
      <c r="W104" s="225"/>
      <c r="X104" s="225"/>
      <c r="Y104" s="225"/>
      <c r="Z104" s="225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ht="15.75" customHeight="1">
      <c r="A105" s="223"/>
      <c r="B105" s="229"/>
      <c r="C105" s="230"/>
      <c r="D105" s="229"/>
      <c r="E105" s="230"/>
      <c r="F105" s="229"/>
      <c r="G105" s="230"/>
      <c r="H105" s="230"/>
      <c r="I105" s="230"/>
      <c r="J105" s="230"/>
      <c r="K105" s="230"/>
      <c r="L105" s="230"/>
      <c r="M105" s="229"/>
      <c r="N105" s="230"/>
      <c r="O105" s="229"/>
      <c r="P105" s="222"/>
      <c r="Q105" s="229"/>
      <c r="R105" s="229"/>
      <c r="S105" s="229"/>
      <c r="T105" s="229"/>
      <c r="U105" s="229"/>
      <c r="V105" s="224"/>
      <c r="W105" s="225"/>
      <c r="X105" s="225"/>
      <c r="Y105" s="225"/>
      <c r="Z105" s="225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ht="15.75" customHeight="1">
      <c r="A106" s="223"/>
      <c r="B106" s="229"/>
      <c r="C106" s="230"/>
      <c r="D106" s="229"/>
      <c r="E106" s="230"/>
      <c r="F106" s="229"/>
      <c r="G106" s="230"/>
      <c r="H106" s="230"/>
      <c r="I106" s="230"/>
      <c r="J106" s="230"/>
      <c r="K106" s="230"/>
      <c r="L106" s="230"/>
      <c r="M106" s="229"/>
      <c r="N106" s="230"/>
      <c r="O106" s="229"/>
      <c r="P106" s="222"/>
      <c r="Q106" s="229"/>
      <c r="R106" s="229"/>
      <c r="S106" s="229"/>
      <c r="T106" s="229"/>
      <c r="U106" s="229"/>
      <c r="V106" s="224"/>
      <c r="W106" s="225"/>
      <c r="X106" s="225"/>
      <c r="Y106" s="225"/>
      <c r="Z106" s="225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ht="15.75" customHeight="1">
      <c r="A107" s="223"/>
      <c r="B107" s="229"/>
      <c r="C107" s="230"/>
      <c r="D107" s="229"/>
      <c r="E107" s="230"/>
      <c r="F107" s="229"/>
      <c r="G107" s="230"/>
      <c r="H107" s="230"/>
      <c r="I107" s="230"/>
      <c r="J107" s="230"/>
      <c r="K107" s="230"/>
      <c r="L107" s="230"/>
      <c r="M107" s="229"/>
      <c r="N107" s="230"/>
      <c r="O107" s="229"/>
      <c r="P107" s="222"/>
      <c r="Q107" s="229"/>
      <c r="R107" s="229"/>
      <c r="S107" s="229"/>
      <c r="T107" s="229"/>
      <c r="U107" s="229"/>
      <c r="V107" s="224"/>
      <c r="W107" s="225"/>
      <c r="X107" s="225"/>
      <c r="Y107" s="225"/>
      <c r="Z107" s="225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ht="15.75" customHeight="1">
      <c r="A108" s="223"/>
      <c r="B108" s="229"/>
      <c r="C108" s="230"/>
      <c r="D108" s="229"/>
      <c r="E108" s="230"/>
      <c r="F108" s="229"/>
      <c r="G108" s="230"/>
      <c r="H108" s="230"/>
      <c r="I108" s="230"/>
      <c r="J108" s="230"/>
      <c r="K108" s="230"/>
      <c r="L108" s="230"/>
      <c r="M108" s="229"/>
      <c r="N108" s="230"/>
      <c r="O108" s="229"/>
      <c r="P108" s="222"/>
      <c r="Q108" s="229"/>
      <c r="R108" s="229"/>
      <c r="S108" s="229"/>
      <c r="T108" s="229"/>
      <c r="U108" s="229"/>
      <c r="V108" s="224"/>
      <c r="W108" s="225"/>
      <c r="X108" s="225"/>
      <c r="Y108" s="225"/>
      <c r="Z108" s="225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ht="15.75" customHeight="1">
      <c r="A109" s="223"/>
      <c r="B109" s="229"/>
      <c r="C109" s="230"/>
      <c r="D109" s="229"/>
      <c r="E109" s="230"/>
      <c r="F109" s="229"/>
      <c r="G109" s="230"/>
      <c r="H109" s="230"/>
      <c r="I109" s="230"/>
      <c r="J109" s="230"/>
      <c r="K109" s="230"/>
      <c r="L109" s="230"/>
      <c r="M109" s="229"/>
      <c r="N109" s="230"/>
      <c r="O109" s="229"/>
      <c r="P109" s="222"/>
      <c r="Q109" s="229"/>
      <c r="R109" s="229"/>
      <c r="S109" s="229"/>
      <c r="T109" s="229"/>
      <c r="U109" s="229"/>
      <c r="V109" s="224"/>
      <c r="W109" s="225"/>
      <c r="X109" s="225"/>
      <c r="Y109" s="225"/>
      <c r="Z109" s="225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ht="15.75" customHeight="1">
      <c r="A110" s="223"/>
      <c r="B110" s="229"/>
      <c r="C110" s="230"/>
      <c r="D110" s="229"/>
      <c r="E110" s="230"/>
      <c r="F110" s="229"/>
      <c r="G110" s="230"/>
      <c r="H110" s="230"/>
      <c r="I110" s="230"/>
      <c r="J110" s="230"/>
      <c r="K110" s="230"/>
      <c r="L110" s="230"/>
      <c r="M110" s="229"/>
      <c r="N110" s="230"/>
      <c r="O110" s="229"/>
      <c r="P110" s="222"/>
      <c r="Q110" s="229"/>
      <c r="R110" s="229"/>
      <c r="S110" s="229"/>
      <c r="T110" s="229"/>
      <c r="U110" s="229"/>
      <c r="V110" s="224"/>
      <c r="W110" s="225"/>
      <c r="X110" s="225"/>
      <c r="Y110" s="225"/>
      <c r="Z110" s="225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ht="15.75" customHeight="1">
      <c r="A111" s="223"/>
      <c r="B111" s="229"/>
      <c r="C111" s="222"/>
      <c r="D111" s="229"/>
      <c r="E111" s="222"/>
      <c r="F111" s="229"/>
      <c r="G111" s="222"/>
      <c r="H111" s="222"/>
      <c r="I111" s="222"/>
      <c r="J111" s="222"/>
      <c r="K111" s="222"/>
      <c r="L111" s="222"/>
      <c r="M111" s="229"/>
      <c r="N111" s="222"/>
      <c r="O111" s="229"/>
      <c r="P111" s="222"/>
      <c r="Q111" s="229"/>
      <c r="R111" s="224"/>
      <c r="S111" s="229"/>
      <c r="T111" s="224"/>
      <c r="U111" s="229"/>
      <c r="V111" s="224"/>
      <c r="W111" s="225"/>
      <c r="X111" s="225"/>
      <c r="Y111" s="225"/>
      <c r="Z111" s="225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ht="15.75" customHeight="1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4"/>
      <c r="S112" s="224"/>
      <c r="T112" s="224"/>
      <c r="U112" s="224"/>
      <c r="V112" s="224"/>
      <c r="W112" s="225"/>
      <c r="X112" s="225"/>
      <c r="Y112" s="225"/>
      <c r="Z112" s="225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ht="15.7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5"/>
      <c r="X113" s="225"/>
      <c r="Y113" s="225"/>
      <c r="Z113" s="225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</row>
    <row r="114" ht="15.75" customHeight="1">
      <c r="A114" s="227"/>
      <c r="V114" s="224"/>
      <c r="W114" s="225"/>
      <c r="X114" s="225"/>
      <c r="Y114" s="225"/>
      <c r="Z114" s="225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</row>
    <row r="115" ht="15.75" customHeight="1">
      <c r="A115" s="222"/>
      <c r="B115" s="228"/>
      <c r="V115" s="224"/>
      <c r="W115" s="225"/>
      <c r="X115" s="225"/>
      <c r="Y115" s="225"/>
      <c r="Z115" s="225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</row>
    <row r="116" ht="15.75" customHeight="1">
      <c r="A116" s="222"/>
      <c r="B116" s="231"/>
      <c r="C116" s="231"/>
      <c r="D116" s="231"/>
      <c r="E116" s="231"/>
      <c r="F116" s="223"/>
      <c r="G116" s="231"/>
      <c r="H116" s="231"/>
      <c r="I116" s="231"/>
      <c r="J116" s="231"/>
      <c r="K116" s="231"/>
      <c r="L116" s="231"/>
      <c r="M116" s="231"/>
      <c r="N116" s="231"/>
      <c r="O116" s="231"/>
      <c r="P116" s="223"/>
      <c r="Q116" s="223"/>
      <c r="R116" s="231"/>
      <c r="S116" s="231"/>
      <c r="T116" s="231"/>
      <c r="U116" s="223"/>
      <c r="V116" s="224"/>
      <c r="W116" s="225"/>
      <c r="X116" s="225"/>
      <c r="Y116" s="225"/>
      <c r="Z116" s="225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ht="15.75" customHeight="1">
      <c r="A117" s="223"/>
      <c r="B117" s="230"/>
      <c r="C117" s="230"/>
      <c r="D117" s="230"/>
      <c r="E117" s="230"/>
      <c r="F117" s="222"/>
      <c r="G117" s="230"/>
      <c r="H117" s="230"/>
      <c r="I117" s="230"/>
      <c r="J117" s="230"/>
      <c r="K117" s="230"/>
      <c r="L117" s="230"/>
      <c r="M117" s="230"/>
      <c r="N117" s="230"/>
      <c r="O117" s="230"/>
      <c r="P117" s="222"/>
      <c r="Q117" s="222"/>
      <c r="R117" s="229"/>
      <c r="S117" s="229"/>
      <c r="T117" s="229"/>
      <c r="U117" s="224"/>
      <c r="V117" s="224"/>
      <c r="W117" s="225"/>
      <c r="X117" s="225"/>
      <c r="Y117" s="225"/>
      <c r="Z117" s="225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ht="15.75" customHeight="1">
      <c r="A118" s="223"/>
      <c r="B118" s="229"/>
      <c r="C118" s="230"/>
      <c r="D118" s="229"/>
      <c r="E118" s="230"/>
      <c r="F118" s="229"/>
      <c r="G118" s="230"/>
      <c r="H118" s="230"/>
      <c r="I118" s="230"/>
      <c r="J118" s="230"/>
      <c r="K118" s="230"/>
      <c r="L118" s="230"/>
      <c r="M118" s="229"/>
      <c r="N118" s="230"/>
      <c r="O118" s="229"/>
      <c r="P118" s="222"/>
      <c r="Q118" s="229"/>
      <c r="R118" s="229"/>
      <c r="S118" s="229"/>
      <c r="T118" s="229"/>
      <c r="U118" s="229"/>
      <c r="V118" s="224"/>
      <c r="W118" s="225"/>
      <c r="X118" s="225"/>
      <c r="Y118" s="225"/>
      <c r="Z118" s="225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ht="15.75" customHeight="1">
      <c r="A119" s="223"/>
      <c r="B119" s="229"/>
      <c r="C119" s="230"/>
      <c r="D119" s="229"/>
      <c r="E119" s="230"/>
      <c r="F119" s="229"/>
      <c r="G119" s="230"/>
      <c r="H119" s="230"/>
      <c r="I119" s="230"/>
      <c r="J119" s="230"/>
      <c r="K119" s="230"/>
      <c r="L119" s="230"/>
      <c r="M119" s="229"/>
      <c r="N119" s="230"/>
      <c r="O119" s="229"/>
      <c r="P119" s="222"/>
      <c r="Q119" s="229"/>
      <c r="R119" s="229"/>
      <c r="S119" s="229"/>
      <c r="T119" s="229"/>
      <c r="U119" s="229"/>
      <c r="V119" s="224"/>
      <c r="W119" s="225"/>
      <c r="X119" s="225"/>
      <c r="Y119" s="225"/>
      <c r="Z119" s="225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ht="15.75" customHeight="1">
      <c r="A120" s="223"/>
      <c r="B120" s="229"/>
      <c r="C120" s="230"/>
      <c r="D120" s="229"/>
      <c r="E120" s="230"/>
      <c r="F120" s="229"/>
      <c r="G120" s="230"/>
      <c r="H120" s="230"/>
      <c r="I120" s="230"/>
      <c r="J120" s="230"/>
      <c r="K120" s="230"/>
      <c r="L120" s="230"/>
      <c r="M120" s="229"/>
      <c r="N120" s="230"/>
      <c r="O120" s="229"/>
      <c r="P120" s="222"/>
      <c r="Q120" s="229"/>
      <c r="R120" s="229"/>
      <c r="S120" s="229"/>
      <c r="T120" s="229"/>
      <c r="U120" s="229"/>
      <c r="V120" s="224"/>
      <c r="W120" s="225"/>
      <c r="X120" s="225"/>
      <c r="Y120" s="225"/>
      <c r="Z120" s="225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ht="15.75" customHeight="1">
      <c r="A121" s="223"/>
      <c r="B121" s="229"/>
      <c r="C121" s="230"/>
      <c r="D121" s="229"/>
      <c r="E121" s="230"/>
      <c r="F121" s="229"/>
      <c r="G121" s="230"/>
      <c r="H121" s="230"/>
      <c r="I121" s="230"/>
      <c r="J121" s="230"/>
      <c r="K121" s="230"/>
      <c r="L121" s="230"/>
      <c r="M121" s="229"/>
      <c r="N121" s="230"/>
      <c r="O121" s="229"/>
      <c r="P121" s="222"/>
      <c r="Q121" s="229"/>
      <c r="R121" s="229"/>
      <c r="S121" s="229"/>
      <c r="T121" s="229"/>
      <c r="U121" s="229"/>
      <c r="V121" s="224"/>
      <c r="W121" s="225"/>
      <c r="X121" s="225"/>
      <c r="Y121" s="225"/>
      <c r="Z121" s="225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ht="15.75" customHeight="1">
      <c r="A122" s="223"/>
      <c r="B122" s="229"/>
      <c r="C122" s="230"/>
      <c r="D122" s="229"/>
      <c r="E122" s="230"/>
      <c r="F122" s="229"/>
      <c r="G122" s="230"/>
      <c r="H122" s="230"/>
      <c r="I122" s="230"/>
      <c r="J122" s="230"/>
      <c r="K122" s="230"/>
      <c r="L122" s="230"/>
      <c r="M122" s="229"/>
      <c r="N122" s="230"/>
      <c r="O122" s="229"/>
      <c r="P122" s="222"/>
      <c r="Q122" s="229"/>
      <c r="R122" s="229"/>
      <c r="S122" s="229"/>
      <c r="T122" s="229"/>
      <c r="U122" s="229"/>
      <c r="V122" s="224"/>
      <c r="W122" s="225"/>
      <c r="X122" s="225"/>
      <c r="Y122" s="225"/>
      <c r="Z122" s="225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ht="15.75" customHeight="1">
      <c r="A123" s="223"/>
      <c r="B123" s="229"/>
      <c r="C123" s="230"/>
      <c r="D123" s="229"/>
      <c r="E123" s="230"/>
      <c r="F123" s="229"/>
      <c r="G123" s="230"/>
      <c r="H123" s="230"/>
      <c r="I123" s="230"/>
      <c r="J123" s="230"/>
      <c r="K123" s="230"/>
      <c r="L123" s="230"/>
      <c r="M123" s="229"/>
      <c r="N123" s="230"/>
      <c r="O123" s="229"/>
      <c r="P123" s="222"/>
      <c r="Q123" s="229"/>
      <c r="R123" s="229"/>
      <c r="S123" s="229"/>
      <c r="T123" s="229"/>
      <c r="U123" s="229"/>
      <c r="V123" s="224"/>
      <c r="W123" s="225"/>
      <c r="X123" s="225"/>
      <c r="Y123" s="225"/>
      <c r="Z123" s="225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ht="15.75" customHeight="1">
      <c r="A124" s="223"/>
      <c r="B124" s="229"/>
      <c r="C124" s="230"/>
      <c r="D124" s="229"/>
      <c r="E124" s="230"/>
      <c r="F124" s="229"/>
      <c r="G124" s="230"/>
      <c r="H124" s="230"/>
      <c r="I124" s="230"/>
      <c r="J124" s="230"/>
      <c r="K124" s="230"/>
      <c r="L124" s="230"/>
      <c r="M124" s="229"/>
      <c r="N124" s="230"/>
      <c r="O124" s="229"/>
      <c r="P124" s="222"/>
      <c r="Q124" s="229"/>
      <c r="R124" s="229"/>
      <c r="S124" s="229"/>
      <c r="T124" s="229"/>
      <c r="U124" s="229"/>
      <c r="V124" s="224"/>
      <c r="W124" s="225"/>
      <c r="X124" s="225"/>
      <c r="Y124" s="225"/>
      <c r="Z124" s="225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ht="15.75" customHeight="1">
      <c r="A125" s="223"/>
      <c r="B125" s="229"/>
      <c r="C125" s="222"/>
      <c r="D125" s="229"/>
      <c r="E125" s="222"/>
      <c r="F125" s="229"/>
      <c r="G125" s="222"/>
      <c r="H125" s="222"/>
      <c r="I125" s="222"/>
      <c r="J125" s="222"/>
      <c r="K125" s="222"/>
      <c r="L125" s="222"/>
      <c r="M125" s="229"/>
      <c r="N125" s="222"/>
      <c r="O125" s="229"/>
      <c r="P125" s="222"/>
      <c r="Q125" s="229"/>
      <c r="R125" s="224"/>
      <c r="S125" s="229"/>
      <c r="T125" s="224"/>
      <c r="U125" s="229"/>
      <c r="V125" s="224"/>
      <c r="W125" s="225"/>
      <c r="X125" s="225"/>
      <c r="Y125" s="225"/>
      <c r="Z125" s="225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ht="15.75" customHeight="1">
      <c r="A126" s="223"/>
      <c r="B126" s="229"/>
      <c r="C126" s="222"/>
      <c r="D126" s="229"/>
      <c r="E126" s="222"/>
      <c r="F126" s="229"/>
      <c r="G126" s="222"/>
      <c r="H126" s="222"/>
      <c r="I126" s="222"/>
      <c r="J126" s="222"/>
      <c r="K126" s="222"/>
      <c r="L126" s="222"/>
      <c r="M126" s="229"/>
      <c r="N126" s="222"/>
      <c r="O126" s="229"/>
      <c r="P126" s="222"/>
      <c r="Q126" s="229"/>
      <c r="R126" s="224"/>
      <c r="S126" s="229"/>
      <c r="T126" s="224"/>
      <c r="U126" s="229"/>
      <c r="V126" s="224"/>
      <c r="W126" s="225"/>
      <c r="X126" s="225"/>
      <c r="Y126" s="225"/>
      <c r="Z126" s="225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ht="15.75" customHeight="1">
      <c r="A127" s="223"/>
      <c r="B127" s="229"/>
      <c r="C127" s="222"/>
      <c r="D127" s="229"/>
      <c r="E127" s="222"/>
      <c r="F127" s="229"/>
      <c r="G127" s="222"/>
      <c r="H127" s="222"/>
      <c r="I127" s="222"/>
      <c r="J127" s="222"/>
      <c r="K127" s="222"/>
      <c r="L127" s="222"/>
      <c r="M127" s="229"/>
      <c r="N127" s="222"/>
      <c r="O127" s="229"/>
      <c r="P127" s="222"/>
      <c r="Q127" s="229"/>
      <c r="R127" s="224"/>
      <c r="S127" s="229"/>
      <c r="T127" s="224"/>
      <c r="U127" s="229"/>
      <c r="V127" s="224"/>
      <c r="W127" s="225"/>
      <c r="X127" s="225"/>
      <c r="Y127" s="225"/>
      <c r="Z127" s="225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ht="15.75" customHeight="1">
      <c r="A128" s="223"/>
      <c r="B128" s="229"/>
      <c r="C128" s="222"/>
      <c r="D128" s="229"/>
      <c r="E128" s="222"/>
      <c r="F128" s="229"/>
      <c r="G128" s="222"/>
      <c r="H128" s="222"/>
      <c r="I128" s="222"/>
      <c r="J128" s="222"/>
      <c r="K128" s="222"/>
      <c r="L128" s="222"/>
      <c r="M128" s="229"/>
      <c r="N128" s="222"/>
      <c r="O128" s="229"/>
      <c r="P128" s="222"/>
      <c r="Q128" s="229"/>
      <c r="R128" s="224"/>
      <c r="S128" s="229"/>
      <c r="T128" s="224"/>
      <c r="U128" s="229"/>
      <c r="V128" s="224"/>
      <c r="W128" s="225"/>
      <c r="X128" s="225"/>
      <c r="Y128" s="225"/>
      <c r="Z128" s="225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ht="15.75" customHeight="1">
      <c r="A129" s="223"/>
      <c r="B129" s="229"/>
      <c r="C129" s="222"/>
      <c r="D129" s="229"/>
      <c r="E129" s="222"/>
      <c r="F129" s="229"/>
      <c r="G129" s="222"/>
      <c r="H129" s="222"/>
      <c r="I129" s="222"/>
      <c r="J129" s="222"/>
      <c r="K129" s="222"/>
      <c r="L129" s="222"/>
      <c r="M129" s="229"/>
      <c r="N129" s="222"/>
      <c r="O129" s="229"/>
      <c r="P129" s="222"/>
      <c r="Q129" s="229"/>
      <c r="R129" s="224"/>
      <c r="S129" s="229"/>
      <c r="T129" s="224"/>
      <c r="U129" s="229"/>
      <c r="V129" s="224"/>
      <c r="W129" s="225"/>
      <c r="X129" s="225"/>
      <c r="Y129" s="225"/>
      <c r="Z129" s="225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ht="15.75" customHeight="1">
      <c r="A130" s="223"/>
      <c r="B130" s="229"/>
      <c r="C130" s="222"/>
      <c r="D130" s="229"/>
      <c r="E130" s="222"/>
      <c r="F130" s="229"/>
      <c r="G130" s="222"/>
      <c r="H130" s="222"/>
      <c r="I130" s="222"/>
      <c r="J130" s="222"/>
      <c r="K130" s="222"/>
      <c r="L130" s="222"/>
      <c r="M130" s="229"/>
      <c r="N130" s="222"/>
      <c r="O130" s="229"/>
      <c r="P130" s="222"/>
      <c r="Q130" s="229"/>
      <c r="R130" s="224"/>
      <c r="S130" s="229"/>
      <c r="T130" s="224"/>
      <c r="U130" s="229"/>
      <c r="V130" s="224"/>
      <c r="W130" s="225"/>
      <c r="X130" s="225"/>
      <c r="Y130" s="225"/>
      <c r="Z130" s="225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ht="15.75" customHeight="1">
      <c r="A131" s="223"/>
      <c r="B131" s="229"/>
      <c r="C131" s="222"/>
      <c r="D131" s="229"/>
      <c r="E131" s="222"/>
      <c r="F131" s="229"/>
      <c r="G131" s="222"/>
      <c r="H131" s="222"/>
      <c r="I131" s="222"/>
      <c r="J131" s="222"/>
      <c r="K131" s="222"/>
      <c r="L131" s="222"/>
      <c r="M131" s="229"/>
      <c r="N131" s="222"/>
      <c r="O131" s="229"/>
      <c r="P131" s="222"/>
      <c r="Q131" s="229"/>
      <c r="R131" s="224"/>
      <c r="S131" s="229"/>
      <c r="T131" s="224"/>
      <c r="U131" s="229"/>
      <c r="V131" s="224"/>
      <c r="W131" s="225"/>
      <c r="X131" s="225"/>
      <c r="Y131" s="225"/>
      <c r="Z131" s="225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ht="15.75" customHeight="1">
      <c r="A132" s="223"/>
      <c r="B132" s="229"/>
      <c r="C132" s="222"/>
      <c r="D132" s="229"/>
      <c r="E132" s="222"/>
      <c r="F132" s="229"/>
      <c r="G132" s="222"/>
      <c r="H132" s="222"/>
      <c r="I132" s="222"/>
      <c r="J132" s="222"/>
      <c r="K132" s="222"/>
      <c r="L132" s="222"/>
      <c r="M132" s="229"/>
      <c r="N132" s="222"/>
      <c r="O132" s="229"/>
      <c r="P132" s="222"/>
      <c r="Q132" s="229"/>
      <c r="R132" s="224"/>
      <c r="S132" s="229"/>
      <c r="T132" s="224"/>
      <c r="U132" s="229"/>
      <c r="V132" s="224"/>
      <c r="W132" s="225"/>
      <c r="X132" s="225"/>
      <c r="Y132" s="225"/>
      <c r="Z132" s="225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ht="15.75" customHeight="1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4"/>
      <c r="S133" s="224"/>
      <c r="T133" s="224"/>
      <c r="U133" s="224"/>
      <c r="V133" s="224"/>
      <c r="W133" s="225"/>
      <c r="X133" s="225"/>
      <c r="Y133" s="225"/>
      <c r="Z133" s="225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5"/>
      <c r="X134" s="225"/>
      <c r="Y134" s="225"/>
      <c r="Z134" s="225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ht="15.75" customHeight="1">
      <c r="A135" s="227"/>
      <c r="V135" s="224"/>
      <c r="W135" s="225"/>
      <c r="X135" s="225"/>
      <c r="Y135" s="225"/>
      <c r="Z135" s="225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ht="15.75" customHeight="1">
      <c r="A136" s="222"/>
      <c r="B136" s="228"/>
      <c r="V136" s="224"/>
      <c r="W136" s="225"/>
      <c r="X136" s="225"/>
      <c r="Y136" s="225"/>
      <c r="Z136" s="225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ht="15.75" customHeight="1">
      <c r="A137" s="222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4"/>
      <c r="W137" s="225"/>
      <c r="X137" s="225"/>
      <c r="Y137" s="225"/>
      <c r="Z137" s="225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ht="15.75" customHeight="1">
      <c r="A138" s="223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4"/>
      <c r="S138" s="224"/>
      <c r="T138" s="224"/>
      <c r="U138" s="224"/>
      <c r="V138" s="224"/>
      <c r="W138" s="225"/>
      <c r="X138" s="225"/>
      <c r="Y138" s="225"/>
      <c r="Z138" s="225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ht="15.75" customHeight="1">
      <c r="A139" s="223"/>
      <c r="B139" s="229"/>
      <c r="C139" s="222"/>
      <c r="D139" s="229"/>
      <c r="E139" s="222"/>
      <c r="F139" s="229"/>
      <c r="G139" s="222"/>
      <c r="H139" s="222"/>
      <c r="I139" s="222"/>
      <c r="J139" s="222"/>
      <c r="K139" s="222"/>
      <c r="L139" s="222"/>
      <c r="M139" s="229"/>
      <c r="N139" s="222"/>
      <c r="O139" s="229"/>
      <c r="P139" s="222"/>
      <c r="Q139" s="229"/>
      <c r="R139" s="224"/>
      <c r="S139" s="229"/>
      <c r="T139" s="224"/>
      <c r="U139" s="229"/>
      <c r="V139" s="224"/>
      <c r="W139" s="225"/>
      <c r="X139" s="225"/>
      <c r="Y139" s="225"/>
      <c r="Z139" s="225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ht="15.75" customHeight="1">
      <c r="A140" s="223"/>
      <c r="B140" s="229"/>
      <c r="C140" s="222"/>
      <c r="D140" s="229"/>
      <c r="E140" s="222"/>
      <c r="F140" s="229"/>
      <c r="G140" s="222"/>
      <c r="H140" s="222"/>
      <c r="I140" s="222"/>
      <c r="J140" s="222"/>
      <c r="K140" s="222"/>
      <c r="L140" s="222"/>
      <c r="M140" s="229"/>
      <c r="N140" s="222"/>
      <c r="O140" s="229"/>
      <c r="P140" s="222"/>
      <c r="Q140" s="229"/>
      <c r="R140" s="224"/>
      <c r="S140" s="229"/>
      <c r="T140" s="224"/>
      <c r="U140" s="229"/>
      <c r="V140" s="224"/>
      <c r="W140" s="225"/>
      <c r="X140" s="225"/>
      <c r="Y140" s="225"/>
      <c r="Z140" s="225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ht="15.75" customHeight="1">
      <c r="A141" s="223"/>
      <c r="B141" s="229"/>
      <c r="C141" s="222"/>
      <c r="D141" s="229"/>
      <c r="E141" s="222"/>
      <c r="F141" s="229"/>
      <c r="G141" s="222"/>
      <c r="H141" s="222"/>
      <c r="I141" s="222"/>
      <c r="J141" s="222"/>
      <c r="K141" s="222"/>
      <c r="L141" s="222"/>
      <c r="M141" s="229"/>
      <c r="N141" s="222"/>
      <c r="O141" s="229"/>
      <c r="P141" s="222"/>
      <c r="Q141" s="229"/>
      <c r="R141" s="224"/>
      <c r="S141" s="229"/>
      <c r="T141" s="224"/>
      <c r="U141" s="229"/>
      <c r="V141" s="224"/>
      <c r="W141" s="225"/>
      <c r="X141" s="225"/>
      <c r="Y141" s="225"/>
      <c r="Z141" s="225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ht="15.75" customHeight="1">
      <c r="A142" s="223"/>
      <c r="B142" s="229"/>
      <c r="C142" s="222"/>
      <c r="D142" s="229"/>
      <c r="E142" s="222"/>
      <c r="F142" s="229"/>
      <c r="G142" s="222"/>
      <c r="H142" s="222"/>
      <c r="I142" s="222"/>
      <c r="J142" s="222"/>
      <c r="K142" s="222"/>
      <c r="L142" s="222"/>
      <c r="M142" s="229"/>
      <c r="N142" s="222"/>
      <c r="O142" s="229"/>
      <c r="P142" s="222"/>
      <c r="Q142" s="229"/>
      <c r="R142" s="224"/>
      <c r="S142" s="229"/>
      <c r="T142" s="224"/>
      <c r="U142" s="229"/>
      <c r="V142" s="224"/>
      <c r="W142" s="225"/>
      <c r="X142" s="225"/>
      <c r="Y142" s="225"/>
      <c r="Z142" s="225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ht="15.75" customHeight="1">
      <c r="A143" s="223"/>
      <c r="B143" s="229"/>
      <c r="C143" s="222"/>
      <c r="D143" s="229"/>
      <c r="E143" s="222"/>
      <c r="F143" s="229"/>
      <c r="G143" s="222"/>
      <c r="H143" s="222"/>
      <c r="I143" s="222"/>
      <c r="J143" s="222"/>
      <c r="K143" s="222"/>
      <c r="L143" s="222"/>
      <c r="M143" s="229"/>
      <c r="N143" s="222"/>
      <c r="O143" s="229"/>
      <c r="P143" s="222"/>
      <c r="Q143" s="229"/>
      <c r="R143" s="224"/>
      <c r="S143" s="229"/>
      <c r="T143" s="224"/>
      <c r="U143" s="229"/>
      <c r="V143" s="224"/>
      <c r="W143" s="225"/>
      <c r="X143" s="225"/>
      <c r="Y143" s="225"/>
      <c r="Z143" s="225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ht="15.75" customHeight="1">
      <c r="A144" s="223"/>
      <c r="B144" s="229"/>
      <c r="C144" s="222"/>
      <c r="D144" s="229"/>
      <c r="E144" s="222"/>
      <c r="F144" s="229"/>
      <c r="G144" s="222"/>
      <c r="H144" s="222"/>
      <c r="I144" s="222"/>
      <c r="J144" s="222"/>
      <c r="K144" s="222"/>
      <c r="L144" s="222"/>
      <c r="M144" s="229"/>
      <c r="N144" s="222"/>
      <c r="O144" s="229"/>
      <c r="P144" s="222"/>
      <c r="Q144" s="229"/>
      <c r="R144" s="224"/>
      <c r="S144" s="229"/>
      <c r="T144" s="224"/>
      <c r="U144" s="229"/>
      <c r="V144" s="224"/>
      <c r="W144" s="225"/>
      <c r="X144" s="225"/>
      <c r="Y144" s="225"/>
      <c r="Z144" s="225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ht="15.75" customHeight="1">
      <c r="A145" s="223"/>
      <c r="B145" s="229"/>
      <c r="C145" s="222"/>
      <c r="D145" s="229"/>
      <c r="E145" s="222"/>
      <c r="F145" s="229"/>
      <c r="G145" s="222"/>
      <c r="H145" s="222"/>
      <c r="I145" s="222"/>
      <c r="J145" s="222"/>
      <c r="K145" s="222"/>
      <c r="L145" s="222"/>
      <c r="M145" s="229"/>
      <c r="N145" s="222"/>
      <c r="O145" s="229"/>
      <c r="P145" s="222"/>
      <c r="Q145" s="229"/>
      <c r="R145" s="224"/>
      <c r="S145" s="229"/>
      <c r="T145" s="224"/>
      <c r="U145" s="229"/>
      <c r="V145" s="224"/>
      <c r="W145" s="225"/>
      <c r="X145" s="225"/>
      <c r="Y145" s="225"/>
      <c r="Z145" s="225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ht="15.75" customHeight="1">
      <c r="A146" s="223"/>
      <c r="B146" s="229"/>
      <c r="C146" s="222"/>
      <c r="D146" s="229"/>
      <c r="E146" s="222"/>
      <c r="F146" s="229"/>
      <c r="G146" s="222"/>
      <c r="H146" s="222"/>
      <c r="I146" s="222"/>
      <c r="J146" s="222"/>
      <c r="K146" s="222"/>
      <c r="L146" s="222"/>
      <c r="M146" s="229"/>
      <c r="N146" s="222"/>
      <c r="O146" s="229"/>
      <c r="P146" s="222"/>
      <c r="Q146" s="229"/>
      <c r="R146" s="224"/>
      <c r="S146" s="229"/>
      <c r="T146" s="224"/>
      <c r="U146" s="229"/>
      <c r="V146" s="224"/>
      <c r="W146" s="225"/>
      <c r="X146" s="225"/>
      <c r="Y146" s="225"/>
      <c r="Z146" s="225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ht="15.75" customHeight="1">
      <c r="A147" s="223"/>
      <c r="B147" s="229"/>
      <c r="C147" s="222"/>
      <c r="D147" s="229"/>
      <c r="E147" s="222"/>
      <c r="F147" s="229"/>
      <c r="G147" s="222"/>
      <c r="H147" s="222"/>
      <c r="I147" s="222"/>
      <c r="J147" s="222"/>
      <c r="K147" s="222"/>
      <c r="L147" s="222"/>
      <c r="M147" s="229"/>
      <c r="N147" s="222"/>
      <c r="O147" s="229"/>
      <c r="P147" s="222"/>
      <c r="Q147" s="229"/>
      <c r="R147" s="224"/>
      <c r="S147" s="229"/>
      <c r="T147" s="224"/>
      <c r="U147" s="229"/>
      <c r="V147" s="224"/>
      <c r="W147" s="225"/>
      <c r="X147" s="225"/>
      <c r="Y147" s="225"/>
      <c r="Z147" s="225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ht="15.75" customHeight="1">
      <c r="A148" s="223"/>
      <c r="B148" s="229"/>
      <c r="C148" s="222"/>
      <c r="D148" s="229"/>
      <c r="E148" s="222"/>
      <c r="F148" s="229"/>
      <c r="G148" s="222"/>
      <c r="H148" s="222"/>
      <c r="I148" s="222"/>
      <c r="J148" s="222"/>
      <c r="K148" s="222"/>
      <c r="L148" s="222"/>
      <c r="M148" s="229"/>
      <c r="N148" s="222"/>
      <c r="O148" s="229"/>
      <c r="P148" s="222"/>
      <c r="Q148" s="229"/>
      <c r="R148" s="224"/>
      <c r="S148" s="229"/>
      <c r="T148" s="224"/>
      <c r="U148" s="229"/>
      <c r="V148" s="224"/>
      <c r="W148" s="225"/>
      <c r="X148" s="225"/>
      <c r="Y148" s="225"/>
      <c r="Z148" s="225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ht="15.75" customHeight="1">
      <c r="A149" s="223"/>
      <c r="B149" s="229"/>
      <c r="C149" s="222"/>
      <c r="D149" s="229"/>
      <c r="E149" s="222"/>
      <c r="F149" s="229"/>
      <c r="G149" s="222"/>
      <c r="H149" s="222"/>
      <c r="I149" s="222"/>
      <c r="J149" s="222"/>
      <c r="K149" s="222"/>
      <c r="L149" s="222"/>
      <c r="M149" s="229"/>
      <c r="N149" s="222"/>
      <c r="O149" s="229"/>
      <c r="P149" s="222"/>
      <c r="Q149" s="229"/>
      <c r="R149" s="224"/>
      <c r="S149" s="229"/>
      <c r="T149" s="224"/>
      <c r="U149" s="229"/>
      <c r="V149" s="224"/>
      <c r="W149" s="225"/>
      <c r="X149" s="225"/>
      <c r="Y149" s="225"/>
      <c r="Z149" s="225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ht="15.75" customHeight="1">
      <c r="A150" s="223"/>
      <c r="B150" s="229"/>
      <c r="C150" s="222"/>
      <c r="D150" s="229"/>
      <c r="E150" s="222"/>
      <c r="F150" s="229"/>
      <c r="G150" s="222"/>
      <c r="H150" s="222"/>
      <c r="I150" s="222"/>
      <c r="J150" s="222"/>
      <c r="K150" s="222"/>
      <c r="L150" s="222"/>
      <c r="M150" s="229"/>
      <c r="N150" s="222"/>
      <c r="O150" s="229"/>
      <c r="P150" s="222"/>
      <c r="Q150" s="229"/>
      <c r="R150" s="224"/>
      <c r="S150" s="229"/>
      <c r="T150" s="224"/>
      <c r="U150" s="229"/>
      <c r="V150" s="224"/>
      <c r="W150" s="225"/>
      <c r="X150" s="225"/>
      <c r="Y150" s="225"/>
      <c r="Z150" s="225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ht="15.75" customHeight="1">
      <c r="A151" s="223"/>
      <c r="B151" s="229"/>
      <c r="C151" s="222"/>
      <c r="D151" s="229"/>
      <c r="E151" s="222"/>
      <c r="F151" s="229"/>
      <c r="G151" s="222"/>
      <c r="H151" s="222"/>
      <c r="I151" s="222"/>
      <c r="J151" s="222"/>
      <c r="K151" s="222"/>
      <c r="L151" s="222"/>
      <c r="M151" s="229"/>
      <c r="N151" s="222"/>
      <c r="O151" s="229"/>
      <c r="P151" s="222"/>
      <c r="Q151" s="229"/>
      <c r="R151" s="224"/>
      <c r="S151" s="229"/>
      <c r="T151" s="224"/>
      <c r="U151" s="229"/>
      <c r="V151" s="224"/>
      <c r="W151" s="225"/>
      <c r="X151" s="225"/>
      <c r="Y151" s="225"/>
      <c r="Z151" s="225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ht="15.75" customHeight="1">
      <c r="A152" s="223"/>
      <c r="B152" s="229"/>
      <c r="C152" s="222"/>
      <c r="D152" s="229"/>
      <c r="E152" s="222"/>
      <c r="F152" s="229"/>
      <c r="G152" s="222"/>
      <c r="H152" s="222"/>
      <c r="I152" s="222"/>
      <c r="J152" s="222"/>
      <c r="K152" s="222"/>
      <c r="L152" s="222"/>
      <c r="M152" s="229"/>
      <c r="N152" s="222"/>
      <c r="O152" s="229"/>
      <c r="P152" s="222"/>
      <c r="Q152" s="229"/>
      <c r="R152" s="224"/>
      <c r="S152" s="229"/>
      <c r="T152" s="224"/>
      <c r="U152" s="229"/>
      <c r="V152" s="224"/>
      <c r="W152" s="225"/>
      <c r="X152" s="225"/>
      <c r="Y152" s="225"/>
      <c r="Z152" s="225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ht="15.75" customHeight="1">
      <c r="A153" s="223"/>
      <c r="B153" s="229"/>
      <c r="C153" s="222"/>
      <c r="D153" s="229"/>
      <c r="E153" s="222"/>
      <c r="F153" s="229"/>
      <c r="G153" s="222"/>
      <c r="H153" s="222"/>
      <c r="I153" s="222"/>
      <c r="J153" s="222"/>
      <c r="K153" s="222"/>
      <c r="L153" s="222"/>
      <c r="M153" s="229"/>
      <c r="N153" s="222"/>
      <c r="O153" s="229"/>
      <c r="P153" s="222"/>
      <c r="Q153" s="229"/>
      <c r="R153" s="224"/>
      <c r="S153" s="229"/>
      <c r="T153" s="224"/>
      <c r="U153" s="229"/>
      <c r="V153" s="224"/>
      <c r="W153" s="225"/>
      <c r="X153" s="225"/>
      <c r="Y153" s="225"/>
      <c r="Z153" s="225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ht="15.75" customHeight="1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4"/>
      <c r="S154" s="224"/>
      <c r="T154" s="224"/>
      <c r="U154" s="224"/>
      <c r="V154" s="224"/>
      <c r="W154" s="225"/>
      <c r="X154" s="225"/>
      <c r="Y154" s="225"/>
      <c r="Z154" s="225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5"/>
      <c r="X155" s="225"/>
      <c r="Y155" s="225"/>
      <c r="Z155" s="225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ht="15.75" customHeight="1">
      <c r="A156" s="227"/>
      <c r="V156" s="224"/>
      <c r="W156" s="225"/>
      <c r="X156" s="225"/>
      <c r="Y156" s="225"/>
      <c r="Z156" s="225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ht="15.75" customHeight="1">
      <c r="A157" s="222"/>
      <c r="B157" s="228"/>
      <c r="V157" s="224"/>
      <c r="W157" s="225"/>
      <c r="X157" s="225"/>
      <c r="Y157" s="225"/>
      <c r="Z157" s="225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ht="15.75" customHeight="1">
      <c r="A158" s="222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4"/>
      <c r="W158" s="225"/>
      <c r="X158" s="225"/>
      <c r="Y158" s="225"/>
      <c r="Z158" s="225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ht="15.75" customHeight="1">
      <c r="A159" s="223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4"/>
      <c r="S159" s="224"/>
      <c r="T159" s="224"/>
      <c r="U159" s="224"/>
      <c r="V159" s="224"/>
      <c r="W159" s="225"/>
      <c r="X159" s="225"/>
      <c r="Y159" s="225"/>
      <c r="Z159" s="225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ht="15.75" customHeight="1">
      <c r="A160" s="223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4"/>
      <c r="W160" s="225"/>
      <c r="X160" s="225"/>
      <c r="Y160" s="225"/>
      <c r="Z160" s="225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ht="15.75" customHeight="1">
      <c r="A161" s="223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4"/>
      <c r="W161" s="225"/>
      <c r="X161" s="225"/>
      <c r="Y161" s="225"/>
      <c r="Z161" s="225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ht="15.75" customHeight="1">
      <c r="A162" s="223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4"/>
      <c r="W162" s="225"/>
      <c r="X162" s="225"/>
      <c r="Y162" s="225"/>
      <c r="Z162" s="225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ht="15.75" customHeight="1">
      <c r="A163" s="223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4"/>
      <c r="W163" s="225"/>
      <c r="X163" s="225"/>
      <c r="Y163" s="225"/>
      <c r="Z163" s="225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ht="15.75" customHeight="1">
      <c r="A164" s="223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4"/>
      <c r="W164" s="225"/>
      <c r="X164" s="225"/>
      <c r="Y164" s="225"/>
      <c r="Z164" s="225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ht="15.75" customHeight="1">
      <c r="A165" s="223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4"/>
      <c r="W165" s="225"/>
      <c r="X165" s="225"/>
      <c r="Y165" s="225"/>
      <c r="Z165" s="225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ht="15.75" customHeight="1">
      <c r="A166" s="223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4"/>
      <c r="W166" s="225"/>
      <c r="X166" s="225"/>
      <c r="Y166" s="225"/>
      <c r="Z166" s="225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ht="15.75" customHeight="1">
      <c r="A167" s="223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4"/>
      <c r="W167" s="225"/>
      <c r="X167" s="225"/>
      <c r="Y167" s="225"/>
      <c r="Z167" s="225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ht="15.75" customHeight="1">
      <c r="A168" s="223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4"/>
      <c r="W168" s="225"/>
      <c r="X168" s="225"/>
      <c r="Y168" s="225"/>
      <c r="Z168" s="225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ht="15.75" customHeight="1">
      <c r="A169" s="223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4"/>
      <c r="W169" s="225"/>
      <c r="X169" s="225"/>
      <c r="Y169" s="225"/>
      <c r="Z169" s="225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ht="15.75" customHeight="1">
      <c r="A170" s="223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4"/>
      <c r="W170" s="225"/>
      <c r="X170" s="225"/>
      <c r="Y170" s="225"/>
      <c r="Z170" s="225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ht="15.75" customHeight="1">
      <c r="A171" s="223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4"/>
      <c r="W171" s="225"/>
      <c r="X171" s="225"/>
      <c r="Y171" s="225"/>
      <c r="Z171" s="225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ht="15.75" customHeight="1">
      <c r="A172" s="223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4"/>
      <c r="W172" s="225"/>
      <c r="X172" s="225"/>
      <c r="Y172" s="225"/>
      <c r="Z172" s="225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ht="15.75" customHeight="1">
      <c r="A173" s="223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4"/>
      <c r="W173" s="225"/>
      <c r="X173" s="225"/>
      <c r="Y173" s="225"/>
      <c r="Z173" s="225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ht="15.75" customHeight="1">
      <c r="A174" s="223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4"/>
      <c r="W174" s="225"/>
      <c r="X174" s="225"/>
      <c r="Y174" s="225"/>
      <c r="Z174" s="225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5"/>
      <c r="X175" s="225"/>
      <c r="Y175" s="225"/>
      <c r="Z175" s="225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5"/>
      <c r="X176" s="225"/>
      <c r="Y176" s="225"/>
      <c r="Z176" s="225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ht="15.75" customHeight="1">
      <c r="A177" s="232"/>
      <c r="B177" s="222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5"/>
      <c r="X177" s="225"/>
      <c r="Y177" s="225"/>
      <c r="Z177" s="225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ht="15.75" customHeight="1">
      <c r="A178" s="222"/>
      <c r="B178" s="228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5"/>
      <c r="X178" s="225"/>
      <c r="Y178" s="225"/>
      <c r="Z178" s="225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ht="15.75" customHeight="1">
      <c r="A179" s="222"/>
      <c r="B179" s="223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5"/>
      <c r="X179" s="225"/>
      <c r="Y179" s="225"/>
      <c r="Z179" s="225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ht="15.75" customHeight="1">
      <c r="A180" s="228"/>
      <c r="B180" s="223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5"/>
      <c r="X180" s="225"/>
      <c r="Y180" s="225"/>
      <c r="Z180" s="225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5"/>
      <c r="X181" s="225"/>
      <c r="Y181" s="225"/>
      <c r="Z181" s="225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ht="15.75" customHeight="1">
      <c r="A182" s="227"/>
      <c r="V182" s="224"/>
      <c r="W182" s="225"/>
      <c r="X182" s="225"/>
      <c r="Y182" s="225"/>
      <c r="Z182" s="225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ht="15.75" customHeight="1">
      <c r="A183" s="222"/>
      <c r="B183" s="228"/>
      <c r="F183" s="228"/>
      <c r="P183" s="228"/>
      <c r="U183" s="223"/>
      <c r="V183" s="224"/>
      <c r="W183" s="225"/>
      <c r="X183" s="225"/>
      <c r="Y183" s="225"/>
      <c r="Z183" s="225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ht="15.75" customHeigh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4"/>
      <c r="V184" s="224"/>
      <c r="W184" s="225"/>
      <c r="X184" s="225"/>
      <c r="Y184" s="225"/>
      <c r="Z184" s="225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ht="15.75" customHeight="1">
      <c r="A185" s="223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4"/>
      <c r="S185" s="224"/>
      <c r="T185" s="224"/>
      <c r="U185" s="224"/>
      <c r="V185" s="224"/>
      <c r="W185" s="225"/>
      <c r="X185" s="225"/>
      <c r="Y185" s="225"/>
      <c r="Z185" s="225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ht="15.75" customHeight="1">
      <c r="A186" s="223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4"/>
      <c r="V186" s="224"/>
      <c r="W186" s="225"/>
      <c r="X186" s="225"/>
      <c r="Y186" s="225"/>
      <c r="Z186" s="225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ht="15.75" customHeight="1">
      <c r="A187" s="223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4"/>
      <c r="V187" s="224"/>
      <c r="W187" s="225"/>
      <c r="X187" s="225"/>
      <c r="Y187" s="225"/>
      <c r="Z187" s="225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ht="15.75" customHeight="1">
      <c r="A188" s="223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4"/>
      <c r="V188" s="224"/>
      <c r="W188" s="225"/>
      <c r="X188" s="225"/>
      <c r="Y188" s="225"/>
      <c r="Z188" s="225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ht="15.75" customHeight="1">
      <c r="A189" s="223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4"/>
      <c r="V189" s="224"/>
      <c r="W189" s="225"/>
      <c r="X189" s="225"/>
      <c r="Y189" s="225"/>
      <c r="Z189" s="225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ht="15.75" customHeight="1">
      <c r="A190" s="223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4"/>
      <c r="V190" s="224"/>
      <c r="W190" s="225"/>
      <c r="X190" s="225"/>
      <c r="Y190" s="225"/>
      <c r="Z190" s="225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ht="15.75" customHeight="1">
      <c r="A191" s="223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4"/>
      <c r="V191" s="224"/>
      <c r="W191" s="225"/>
      <c r="X191" s="225"/>
      <c r="Y191" s="225"/>
      <c r="Z191" s="225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ht="15.75" customHeight="1">
      <c r="A192" s="223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4"/>
      <c r="V192" s="224"/>
      <c r="W192" s="225"/>
      <c r="X192" s="225"/>
      <c r="Y192" s="225"/>
      <c r="Z192" s="225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ht="15.75" customHeight="1">
      <c r="A193" s="223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4"/>
      <c r="V193" s="224"/>
      <c r="W193" s="225"/>
      <c r="X193" s="225"/>
      <c r="Y193" s="225"/>
      <c r="Z193" s="225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ht="15.75" customHeight="1">
      <c r="A194" s="223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4"/>
      <c r="V194" s="224"/>
      <c r="W194" s="225"/>
      <c r="X194" s="225"/>
      <c r="Y194" s="225"/>
      <c r="Z194" s="225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ht="15.75" customHeight="1">
      <c r="A195" s="223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4"/>
      <c r="S195" s="224"/>
      <c r="T195" s="224"/>
      <c r="U195" s="224"/>
      <c r="V195" s="224"/>
      <c r="W195" s="225"/>
      <c r="X195" s="225"/>
      <c r="Y195" s="225"/>
      <c r="Z195" s="225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</row>
    <row r="196" ht="15.75" customHeight="1">
      <c r="A196" s="223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4"/>
      <c r="S196" s="224"/>
      <c r="T196" s="224"/>
      <c r="U196" s="224"/>
      <c r="V196" s="224"/>
      <c r="W196" s="225"/>
      <c r="X196" s="225"/>
      <c r="Y196" s="225"/>
      <c r="Z196" s="225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ht="15.75" customHeight="1">
      <c r="A197" s="223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4"/>
      <c r="S197" s="224"/>
      <c r="T197" s="224"/>
      <c r="U197" s="224"/>
      <c r="V197" s="224"/>
      <c r="W197" s="225"/>
      <c r="X197" s="225"/>
      <c r="Y197" s="225"/>
      <c r="Z197" s="225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ht="15.75" customHeight="1">
      <c r="A198" s="223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4"/>
      <c r="S198" s="224"/>
      <c r="T198" s="224"/>
      <c r="U198" s="224"/>
      <c r="V198" s="224"/>
      <c r="W198" s="225"/>
      <c r="X198" s="225"/>
      <c r="Y198" s="225"/>
      <c r="Z198" s="225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5"/>
      <c r="X199" s="225"/>
      <c r="Y199" s="225"/>
      <c r="Z199" s="225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ht="15.75" customHeight="1">
      <c r="A200" s="227"/>
      <c r="V200" s="224"/>
      <c r="W200" s="225"/>
      <c r="X200" s="225"/>
      <c r="Y200" s="225"/>
      <c r="Z200" s="225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ht="15.75" customHeight="1">
      <c r="A201" s="222"/>
      <c r="B201" s="228"/>
      <c r="F201" s="228"/>
      <c r="P201" s="228"/>
      <c r="U201" s="223"/>
      <c r="V201" s="224"/>
      <c r="W201" s="225"/>
      <c r="X201" s="225"/>
      <c r="Y201" s="225"/>
      <c r="Z201" s="225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</row>
    <row r="202" ht="15.7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4"/>
      <c r="V202" s="224"/>
      <c r="W202" s="225"/>
      <c r="X202" s="225"/>
      <c r="Y202" s="225"/>
      <c r="Z202" s="225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</row>
    <row r="203" ht="15.75" customHeight="1">
      <c r="A203" s="223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4"/>
      <c r="S203" s="224"/>
      <c r="T203" s="224"/>
      <c r="U203" s="224"/>
      <c r="V203" s="224"/>
      <c r="W203" s="225"/>
      <c r="X203" s="225"/>
      <c r="Y203" s="225"/>
      <c r="Z203" s="225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</row>
    <row r="204" ht="15.75" customHeight="1">
      <c r="A204" s="223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4"/>
      <c r="V204" s="224"/>
      <c r="W204" s="225"/>
      <c r="X204" s="225"/>
      <c r="Y204" s="225"/>
      <c r="Z204" s="225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</row>
    <row r="205" ht="15.75" customHeight="1">
      <c r="A205" s="223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4"/>
      <c r="V205" s="224"/>
      <c r="W205" s="225"/>
      <c r="X205" s="225"/>
      <c r="Y205" s="225"/>
      <c r="Z205" s="225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</row>
    <row r="206" ht="15.75" customHeight="1">
      <c r="A206" s="223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4"/>
      <c r="V206" s="224"/>
      <c r="W206" s="225"/>
      <c r="X206" s="225"/>
      <c r="Y206" s="225"/>
      <c r="Z206" s="225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</row>
    <row r="207" ht="15.75" customHeight="1">
      <c r="A207" s="223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4"/>
      <c r="V207" s="224"/>
      <c r="W207" s="225"/>
      <c r="X207" s="225"/>
      <c r="Y207" s="225"/>
      <c r="Z207" s="225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</row>
    <row r="208" ht="15.75" customHeight="1">
      <c r="A208" s="223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4"/>
      <c r="V208" s="224"/>
      <c r="W208" s="225"/>
      <c r="X208" s="225"/>
      <c r="Y208" s="225"/>
      <c r="Z208" s="225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</row>
    <row r="209" ht="15.75" customHeight="1">
      <c r="A209" s="223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4"/>
      <c r="V209" s="224"/>
      <c r="W209" s="225"/>
      <c r="X209" s="225"/>
      <c r="Y209" s="225"/>
      <c r="Z209" s="225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</row>
    <row r="210" ht="15.75" customHeight="1">
      <c r="A210" s="223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4"/>
      <c r="V210" s="224"/>
      <c r="W210" s="225"/>
      <c r="X210" s="225"/>
      <c r="Y210" s="225"/>
      <c r="Z210" s="225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</row>
    <row r="211" ht="15.75" customHeight="1">
      <c r="A211" s="223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4"/>
      <c r="V211" s="224"/>
      <c r="W211" s="225"/>
      <c r="X211" s="225"/>
      <c r="Y211" s="225"/>
      <c r="Z211" s="225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</row>
    <row r="212" ht="15.75" customHeight="1">
      <c r="A212" s="223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4"/>
      <c r="V212" s="224"/>
      <c r="W212" s="225"/>
      <c r="X212" s="225"/>
      <c r="Y212" s="225"/>
      <c r="Z212" s="225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</row>
    <row r="213" ht="15.75" customHeight="1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</row>
    <row r="214" ht="15.75" customHeight="1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</row>
    <row r="215" ht="15.75" customHeight="1">
      <c r="A215" s="233"/>
      <c r="B215" s="233"/>
      <c r="G215" s="224"/>
      <c r="H215" s="224"/>
      <c r="I215" s="224"/>
      <c r="J215" s="224"/>
      <c r="K215" s="224"/>
      <c r="L215" s="224"/>
      <c r="M215" s="224"/>
      <c r="N215" s="234"/>
      <c r="P215" s="235"/>
      <c r="V215" s="224"/>
      <c r="W215" s="224"/>
      <c r="X215" s="224"/>
      <c r="Y215" s="224"/>
      <c r="Z215" s="225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5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</row>
    <row r="217" ht="15.75" customHeight="1">
      <c r="A217" s="228"/>
      <c r="B217" s="228"/>
      <c r="C217" s="228"/>
      <c r="D217" s="228"/>
      <c r="E217" s="228"/>
      <c r="F217" s="228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5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</row>
    <row r="218" ht="15.75" customHeight="1">
      <c r="G218" s="224"/>
      <c r="H218" s="224"/>
      <c r="I218" s="224"/>
      <c r="J218" s="224"/>
      <c r="K218" s="224"/>
      <c r="L218" s="224"/>
      <c r="M218" s="224"/>
      <c r="N218" s="228"/>
      <c r="O218" s="228"/>
      <c r="P218" s="228"/>
      <c r="Q218" s="236"/>
      <c r="R218" s="236"/>
      <c r="S218" s="236"/>
      <c r="T218" s="236"/>
      <c r="U218" s="236"/>
      <c r="V218" s="236"/>
      <c r="W218" s="236"/>
      <c r="X218" s="236"/>
      <c r="Y218" s="237"/>
      <c r="Z218" s="225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</row>
    <row r="219" ht="15.75" customHeight="1">
      <c r="A219" s="224"/>
      <c r="B219" s="229"/>
      <c r="C219" s="229"/>
      <c r="D219" s="229"/>
      <c r="E219" s="229"/>
      <c r="F219" s="229"/>
      <c r="G219" s="224"/>
      <c r="H219" s="224"/>
      <c r="I219" s="224"/>
      <c r="J219" s="224"/>
      <c r="K219" s="224"/>
      <c r="L219" s="224"/>
      <c r="M219" s="224"/>
      <c r="N219" s="228"/>
      <c r="O219" s="228"/>
      <c r="P219" s="228"/>
      <c r="Q219" s="236"/>
      <c r="R219" s="236"/>
      <c r="S219" s="236"/>
      <c r="T219" s="236"/>
      <c r="U219" s="236"/>
      <c r="V219" s="236"/>
      <c r="Z219" s="225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</row>
    <row r="220" ht="15.75" customHeight="1">
      <c r="A220" s="224"/>
      <c r="B220" s="229"/>
      <c r="C220" s="229"/>
      <c r="D220" s="229"/>
      <c r="E220" s="229"/>
      <c r="F220" s="229"/>
      <c r="G220" s="224"/>
      <c r="H220" s="224"/>
      <c r="I220" s="224"/>
      <c r="J220" s="224"/>
      <c r="K220" s="224"/>
      <c r="L220" s="224"/>
      <c r="M220" s="224"/>
      <c r="N220" s="226"/>
      <c r="O220" s="226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5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</row>
  </sheetData>
  <mergeCells count="37">
    <mergeCell ref="A1:I1"/>
    <mergeCell ref="A14:I14"/>
    <mergeCell ref="K14:P14"/>
    <mergeCell ref="A34:I34"/>
    <mergeCell ref="K34:P34"/>
    <mergeCell ref="A52:U52"/>
    <mergeCell ref="B53:U53"/>
    <mergeCell ref="A73:U73"/>
    <mergeCell ref="B74:U74"/>
    <mergeCell ref="A93:U93"/>
    <mergeCell ref="B94:U94"/>
    <mergeCell ref="A114:U114"/>
    <mergeCell ref="B115:U115"/>
    <mergeCell ref="A135:U135"/>
    <mergeCell ref="B136:U136"/>
    <mergeCell ref="A156:U156"/>
    <mergeCell ref="B157:U157"/>
    <mergeCell ref="A182:U182"/>
    <mergeCell ref="B183:E183"/>
    <mergeCell ref="F183:O183"/>
    <mergeCell ref="P183:T183"/>
    <mergeCell ref="A200:U200"/>
    <mergeCell ref="B201:E201"/>
    <mergeCell ref="F201:O201"/>
    <mergeCell ref="P201:T201"/>
    <mergeCell ref="B215:F215"/>
    <mergeCell ref="N215:O215"/>
    <mergeCell ref="P215:U215"/>
    <mergeCell ref="X218:X219"/>
    <mergeCell ref="Y218:Y219"/>
    <mergeCell ref="A217:A218"/>
    <mergeCell ref="B217:B218"/>
    <mergeCell ref="C217:C218"/>
    <mergeCell ref="D217:D218"/>
    <mergeCell ref="E217:E218"/>
    <mergeCell ref="F217:F218"/>
    <mergeCell ref="W218:W2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88"/>
    <col customWidth="1" min="3" max="10" width="11.0"/>
    <col customWidth="1" min="11" max="19" width="9.88"/>
  </cols>
  <sheetData>
    <row r="1" ht="30.75" customHeight="1">
      <c r="A1" s="61" t="s">
        <v>571</v>
      </c>
      <c r="P1" s="238" t="s">
        <v>572</v>
      </c>
      <c r="Q1" s="62"/>
      <c r="R1" s="62"/>
      <c r="T1" s="62"/>
    </row>
    <row r="2" ht="19.5" customHeight="1">
      <c r="A2" s="107" t="s">
        <v>558</v>
      </c>
      <c r="B2" s="124" t="s">
        <v>515</v>
      </c>
      <c r="C2" s="124" t="s">
        <v>559</v>
      </c>
      <c r="D2" s="124" t="s">
        <v>516</v>
      </c>
      <c r="E2" s="124" t="s">
        <v>560</v>
      </c>
      <c r="F2" s="124" t="s">
        <v>517</v>
      </c>
      <c r="G2" s="124" t="s">
        <v>561</v>
      </c>
      <c r="H2" s="124" t="s">
        <v>518</v>
      </c>
      <c r="I2" s="124" t="s">
        <v>562</v>
      </c>
      <c r="J2" s="124" t="s">
        <v>573</v>
      </c>
      <c r="K2" s="6" t="s">
        <v>574</v>
      </c>
      <c r="L2" s="6" t="s">
        <v>575</v>
      </c>
      <c r="M2" s="6" t="s">
        <v>576</v>
      </c>
      <c r="N2" s="6" t="s">
        <v>577</v>
      </c>
      <c r="O2" s="6" t="s">
        <v>578</v>
      </c>
      <c r="P2" s="239"/>
      <c r="S2" s="62"/>
      <c r="T2" s="62"/>
    </row>
    <row r="3" ht="15.75" customHeight="1">
      <c r="A3" s="124" t="s">
        <v>515</v>
      </c>
      <c r="B3" s="109">
        <v>2500.0</v>
      </c>
      <c r="C3" s="109">
        <v>2700.0</v>
      </c>
      <c r="D3" s="109">
        <v>3000.0</v>
      </c>
      <c r="E3" s="109">
        <v>3200.0</v>
      </c>
      <c r="F3" s="109">
        <v>3400.0</v>
      </c>
      <c r="G3" s="109">
        <v>3600.0</v>
      </c>
      <c r="H3" s="109">
        <v>3800.0</v>
      </c>
      <c r="I3" s="112">
        <v>4000.0</v>
      </c>
      <c r="J3" s="112">
        <v>4200.0</v>
      </c>
      <c r="K3" s="5">
        <v>4600.0</v>
      </c>
      <c r="L3" s="5">
        <v>5000.0</v>
      </c>
      <c r="M3" s="5">
        <v>5400.0</v>
      </c>
      <c r="N3" s="5">
        <v>5800.0</v>
      </c>
      <c r="O3" s="5">
        <v>6200.0</v>
      </c>
      <c r="P3" s="62"/>
      <c r="S3" s="62"/>
      <c r="T3" s="62"/>
    </row>
    <row r="4" ht="15.75" customHeight="1">
      <c r="A4" s="124" t="s">
        <v>559</v>
      </c>
      <c r="B4" s="109">
        <v>2700.0</v>
      </c>
      <c r="C4" s="109">
        <v>3100.0</v>
      </c>
      <c r="D4" s="109">
        <v>3400.0</v>
      </c>
      <c r="E4" s="109">
        <v>3800.0</v>
      </c>
      <c r="F4" s="109">
        <v>4000.0</v>
      </c>
      <c r="G4" s="109">
        <v>4300.0</v>
      </c>
      <c r="H4" s="109">
        <v>4700.0</v>
      </c>
      <c r="I4" s="109">
        <v>5000.0</v>
      </c>
      <c r="J4" s="109">
        <v>5300.0</v>
      </c>
      <c r="K4" s="5">
        <v>5900.0</v>
      </c>
      <c r="L4" s="5">
        <v>6500.0</v>
      </c>
      <c r="M4" s="5">
        <v>7100.0</v>
      </c>
      <c r="N4" s="5">
        <v>7700.0</v>
      </c>
      <c r="O4" s="5">
        <v>8300.0</v>
      </c>
      <c r="P4" s="62"/>
      <c r="S4" s="62"/>
      <c r="T4" s="62"/>
    </row>
    <row r="5" ht="15.75" customHeight="1">
      <c r="A5" s="124" t="s">
        <v>516</v>
      </c>
      <c r="B5" s="109">
        <v>3000.0</v>
      </c>
      <c r="C5" s="109">
        <v>3400.0</v>
      </c>
      <c r="D5" s="109">
        <v>3800.0</v>
      </c>
      <c r="E5" s="109">
        <v>4200.0</v>
      </c>
      <c r="F5" s="109">
        <v>4700.0</v>
      </c>
      <c r="G5" s="109">
        <v>5100.0</v>
      </c>
      <c r="H5" s="109">
        <v>5500.0</v>
      </c>
      <c r="I5" s="109">
        <v>5900.0</v>
      </c>
      <c r="J5" s="109">
        <v>6400.0</v>
      </c>
      <c r="K5" s="5">
        <v>7400.0</v>
      </c>
      <c r="L5" s="5">
        <v>8400.0</v>
      </c>
      <c r="M5" s="5">
        <v>9400.0</v>
      </c>
      <c r="N5" s="5">
        <v>10400.0</v>
      </c>
      <c r="O5" s="5">
        <v>11400.0</v>
      </c>
      <c r="P5" s="62"/>
      <c r="S5" s="62"/>
      <c r="T5" s="62"/>
    </row>
    <row r="6" ht="15.75" customHeight="1">
      <c r="A6" s="124" t="s">
        <v>560</v>
      </c>
      <c r="B6" s="109">
        <v>3200.0</v>
      </c>
      <c r="C6" s="109">
        <v>3700.0</v>
      </c>
      <c r="D6" s="109">
        <v>4200.0</v>
      </c>
      <c r="E6" s="109">
        <v>4800.0</v>
      </c>
      <c r="F6" s="109">
        <v>5300.0</v>
      </c>
      <c r="G6" s="109">
        <v>5800.0</v>
      </c>
      <c r="H6" s="109">
        <v>6400.0</v>
      </c>
      <c r="I6" s="109">
        <v>6900.0</v>
      </c>
      <c r="J6" s="109">
        <v>7400.0</v>
      </c>
      <c r="K6" s="5">
        <v>8400.0</v>
      </c>
      <c r="L6" s="5">
        <v>9400.0</v>
      </c>
      <c r="M6" s="5">
        <v>10400.0</v>
      </c>
      <c r="N6" s="5">
        <v>11400.0</v>
      </c>
      <c r="O6" s="5">
        <v>12400.0</v>
      </c>
      <c r="P6" s="62"/>
      <c r="S6" s="62"/>
      <c r="T6" s="62"/>
    </row>
    <row r="7" ht="15.75" customHeight="1">
      <c r="A7" s="124" t="s">
        <v>517</v>
      </c>
      <c r="B7" s="109">
        <v>3400.0</v>
      </c>
      <c r="C7" s="109">
        <v>4000.0</v>
      </c>
      <c r="D7" s="109">
        <v>4700.0</v>
      </c>
      <c r="E7" s="109">
        <v>5300.0</v>
      </c>
      <c r="F7" s="109">
        <v>5900.0</v>
      </c>
      <c r="G7" s="109">
        <v>6600.0</v>
      </c>
      <c r="H7" s="109">
        <v>7200.0</v>
      </c>
      <c r="I7" s="109">
        <v>7800.0</v>
      </c>
      <c r="J7" s="109">
        <v>8500.0</v>
      </c>
      <c r="K7" s="11">
        <v>9900.0</v>
      </c>
      <c r="L7" s="11">
        <v>11300.0</v>
      </c>
      <c r="M7" s="11">
        <v>12700.0</v>
      </c>
      <c r="N7" s="11">
        <v>14100.0</v>
      </c>
      <c r="O7" s="11">
        <v>15500.0</v>
      </c>
      <c r="P7" s="62"/>
      <c r="S7" s="62"/>
      <c r="T7" s="62"/>
    </row>
    <row r="8" ht="15.75" customHeight="1">
      <c r="A8" s="124" t="s">
        <v>561</v>
      </c>
      <c r="B8" s="109">
        <v>3600.0</v>
      </c>
      <c r="C8" s="109">
        <v>4300.0</v>
      </c>
      <c r="D8" s="109">
        <v>5100.0</v>
      </c>
      <c r="E8" s="109">
        <v>5800.0</v>
      </c>
      <c r="F8" s="109">
        <v>6600.0</v>
      </c>
      <c r="G8" s="109">
        <v>7300.0</v>
      </c>
      <c r="H8" s="109">
        <v>8100.0</v>
      </c>
      <c r="I8" s="109">
        <v>8800.0</v>
      </c>
      <c r="J8" s="109">
        <v>9500.0</v>
      </c>
      <c r="K8" s="11">
        <v>10900.0</v>
      </c>
      <c r="L8" s="11">
        <v>12300.0</v>
      </c>
      <c r="M8" s="11">
        <v>13700.0</v>
      </c>
      <c r="N8" s="11">
        <v>15100.0</v>
      </c>
      <c r="O8" s="11">
        <v>16500.0</v>
      </c>
      <c r="P8" s="62"/>
      <c r="S8" s="62"/>
      <c r="T8" s="62"/>
    </row>
    <row r="9" ht="15.75" customHeight="1">
      <c r="A9" s="124" t="s">
        <v>518</v>
      </c>
      <c r="B9" s="109">
        <v>3800.0</v>
      </c>
      <c r="C9" s="109">
        <v>4700.0</v>
      </c>
      <c r="D9" s="109">
        <v>5500.0</v>
      </c>
      <c r="E9" s="109">
        <v>6400.0</v>
      </c>
      <c r="F9" s="109">
        <v>7200.0</v>
      </c>
      <c r="G9" s="109">
        <v>8100.0</v>
      </c>
      <c r="H9" s="109">
        <v>8900.0</v>
      </c>
      <c r="I9" s="109">
        <v>9800.0</v>
      </c>
      <c r="J9" s="109">
        <v>10600.0</v>
      </c>
      <c r="K9" s="11">
        <v>12200.0</v>
      </c>
      <c r="L9" s="11">
        <v>13800.0</v>
      </c>
      <c r="M9" s="11">
        <v>15400.0</v>
      </c>
      <c r="N9" s="11">
        <v>17000.0</v>
      </c>
      <c r="O9" s="11">
        <v>18600.0</v>
      </c>
      <c r="P9" s="62"/>
      <c r="S9" s="62"/>
      <c r="T9" s="62"/>
    </row>
    <row r="10" ht="15.75" customHeight="1">
      <c r="A10" s="124" t="s">
        <v>562</v>
      </c>
      <c r="B10" s="109">
        <v>4000.0</v>
      </c>
      <c r="C10" s="109">
        <v>5000.0</v>
      </c>
      <c r="D10" s="109">
        <v>5900.0</v>
      </c>
      <c r="E10" s="109">
        <v>6900.0</v>
      </c>
      <c r="F10" s="109">
        <v>7800.0</v>
      </c>
      <c r="G10" s="109">
        <v>8800.0</v>
      </c>
      <c r="H10" s="109">
        <v>9800.0</v>
      </c>
      <c r="I10" s="109">
        <v>10700.0</v>
      </c>
      <c r="J10" s="109">
        <v>11700.0</v>
      </c>
      <c r="K10" s="11">
        <v>13700.0</v>
      </c>
      <c r="L10" s="11">
        <v>15700.0</v>
      </c>
      <c r="M10" s="11">
        <v>17700.0</v>
      </c>
      <c r="N10" s="11">
        <v>19700.0</v>
      </c>
      <c r="O10" s="11">
        <v>21700.0</v>
      </c>
      <c r="P10" s="62"/>
      <c r="S10" s="62"/>
      <c r="T10" s="62"/>
    </row>
    <row r="11" ht="15.75" customHeight="1">
      <c r="A11" s="124" t="s">
        <v>573</v>
      </c>
      <c r="B11" s="109">
        <v>4200.0</v>
      </c>
      <c r="C11" s="109">
        <v>5300.0</v>
      </c>
      <c r="D11" s="109">
        <v>6400.0</v>
      </c>
      <c r="E11" s="109">
        <v>7400.0</v>
      </c>
      <c r="F11" s="109">
        <v>8500.0</v>
      </c>
      <c r="G11" s="109">
        <v>9500.0</v>
      </c>
      <c r="H11" s="109">
        <v>10600.0</v>
      </c>
      <c r="I11" s="109">
        <v>11700.0</v>
      </c>
      <c r="J11" s="109">
        <v>12700.0</v>
      </c>
      <c r="K11" s="11">
        <v>14700.0</v>
      </c>
      <c r="L11" s="11">
        <v>16700.0</v>
      </c>
      <c r="M11" s="11">
        <v>18700.0</v>
      </c>
      <c r="N11" s="11">
        <v>20700.0</v>
      </c>
      <c r="O11" s="11">
        <v>22700.0</v>
      </c>
      <c r="P11" s="62"/>
      <c r="S11" s="62"/>
      <c r="T11" s="62"/>
    </row>
    <row r="12" ht="15.75" customHeight="1">
      <c r="A12" s="6" t="s">
        <v>574</v>
      </c>
      <c r="B12" s="5">
        <v>4600.0</v>
      </c>
      <c r="C12" s="5">
        <v>5900.0</v>
      </c>
      <c r="D12" s="5">
        <v>7400.0</v>
      </c>
      <c r="E12" s="5">
        <v>8400.0</v>
      </c>
      <c r="F12" s="5">
        <v>9900.0</v>
      </c>
      <c r="G12" s="5">
        <v>10900.0</v>
      </c>
      <c r="H12" s="5">
        <v>12200.0</v>
      </c>
      <c r="I12" s="5">
        <v>13700.0</v>
      </c>
      <c r="J12" s="5">
        <v>14700.0</v>
      </c>
      <c r="K12" s="5">
        <v>16700.0</v>
      </c>
      <c r="L12" s="11">
        <v>18700.0</v>
      </c>
      <c r="M12" s="11">
        <v>20700.0</v>
      </c>
      <c r="N12" s="11">
        <v>22700.0</v>
      </c>
      <c r="O12" s="11">
        <v>24700.0</v>
      </c>
      <c r="P12" s="62"/>
      <c r="Q12" s="62"/>
      <c r="S12" s="62"/>
      <c r="T12" s="62"/>
      <c r="U12" s="62"/>
      <c r="V12" s="62"/>
    </row>
    <row r="13" ht="15.75" customHeight="1">
      <c r="A13" s="6" t="s">
        <v>575</v>
      </c>
      <c r="B13" s="5">
        <v>5000.0</v>
      </c>
      <c r="C13" s="5">
        <v>6500.0</v>
      </c>
      <c r="D13" s="5">
        <v>8400.0</v>
      </c>
      <c r="E13" s="5">
        <v>9400.0</v>
      </c>
      <c r="F13" s="5">
        <v>11300.0</v>
      </c>
      <c r="G13" s="5">
        <v>12300.0</v>
      </c>
      <c r="H13" s="5">
        <v>13800.0</v>
      </c>
      <c r="I13" s="5">
        <v>15700.0</v>
      </c>
      <c r="J13" s="5">
        <v>16700.0</v>
      </c>
      <c r="K13" s="5">
        <v>18700.0</v>
      </c>
      <c r="L13" s="11">
        <v>20700.0</v>
      </c>
      <c r="M13" s="11">
        <v>22700.0</v>
      </c>
      <c r="N13" s="11">
        <v>24700.0</v>
      </c>
      <c r="O13" s="11">
        <v>26700.0</v>
      </c>
      <c r="P13" s="62"/>
      <c r="Q13" s="62"/>
      <c r="R13" s="62"/>
      <c r="S13" s="62"/>
      <c r="T13" s="62"/>
      <c r="U13" s="62"/>
      <c r="V13" s="62"/>
    </row>
    <row r="14" ht="15.75" customHeight="1">
      <c r="A14" s="6" t="s">
        <v>576</v>
      </c>
      <c r="B14" s="5">
        <v>5400.0</v>
      </c>
      <c r="C14" s="5">
        <v>7100.0</v>
      </c>
      <c r="D14" s="5">
        <v>9400.0</v>
      </c>
      <c r="E14" s="5">
        <v>10400.0</v>
      </c>
      <c r="F14" s="5">
        <v>12700.0</v>
      </c>
      <c r="G14" s="5">
        <v>13700.0</v>
      </c>
      <c r="H14" s="5">
        <v>15400.0</v>
      </c>
      <c r="I14" s="5">
        <v>17700.0</v>
      </c>
      <c r="J14" s="5">
        <v>18700.0</v>
      </c>
      <c r="K14" s="5">
        <v>20700.0</v>
      </c>
      <c r="L14" s="11">
        <v>22700.0</v>
      </c>
      <c r="M14" s="11">
        <v>24700.0</v>
      </c>
      <c r="N14" s="11">
        <v>26700.0</v>
      </c>
      <c r="O14" s="11">
        <v>28700.0</v>
      </c>
      <c r="P14" s="62"/>
      <c r="Q14" s="62"/>
      <c r="R14" s="62"/>
      <c r="S14" s="62"/>
      <c r="T14" s="62"/>
      <c r="U14" s="62"/>
      <c r="V14" s="62"/>
    </row>
    <row r="15" ht="15.75" customHeight="1">
      <c r="A15" s="6" t="s">
        <v>577</v>
      </c>
      <c r="B15" s="5">
        <v>5800.0</v>
      </c>
      <c r="C15" s="5">
        <v>7700.0</v>
      </c>
      <c r="D15" s="5">
        <v>10400.0</v>
      </c>
      <c r="E15" s="5">
        <v>11400.0</v>
      </c>
      <c r="F15" s="5">
        <v>14100.0</v>
      </c>
      <c r="G15" s="5">
        <v>15100.0</v>
      </c>
      <c r="H15" s="5">
        <v>17000.0</v>
      </c>
      <c r="I15" s="5">
        <v>19700.0</v>
      </c>
      <c r="J15" s="5">
        <v>20700.0</v>
      </c>
      <c r="K15" s="5">
        <v>22700.0</v>
      </c>
      <c r="L15" s="11">
        <v>24700.0</v>
      </c>
      <c r="M15" s="11">
        <v>26700.0</v>
      </c>
      <c r="N15" s="11">
        <v>28700.0</v>
      </c>
      <c r="O15" s="11">
        <v>30700.0</v>
      </c>
      <c r="P15" s="62"/>
      <c r="Q15" s="62"/>
      <c r="R15" s="62"/>
      <c r="S15" s="62"/>
      <c r="T15" s="62"/>
      <c r="U15" s="62"/>
      <c r="V15" s="62"/>
    </row>
    <row r="16" ht="15.75" customHeight="1">
      <c r="A16" s="6" t="s">
        <v>578</v>
      </c>
      <c r="B16" s="5">
        <v>6200.0</v>
      </c>
      <c r="C16" s="5">
        <v>8300.0</v>
      </c>
      <c r="D16" s="5">
        <v>11400.0</v>
      </c>
      <c r="E16" s="5">
        <v>12400.0</v>
      </c>
      <c r="F16" s="5">
        <v>15500.0</v>
      </c>
      <c r="G16" s="5">
        <v>16500.0</v>
      </c>
      <c r="H16" s="5">
        <v>18600.0</v>
      </c>
      <c r="I16" s="5">
        <v>21700.0</v>
      </c>
      <c r="J16" s="5">
        <v>22700.0</v>
      </c>
      <c r="K16" s="5">
        <v>24700.0</v>
      </c>
      <c r="L16" s="11">
        <v>26700.0</v>
      </c>
      <c r="M16" s="11">
        <v>28700.0</v>
      </c>
      <c r="N16" s="11">
        <v>30700.0</v>
      </c>
      <c r="O16" s="11">
        <v>32700.0</v>
      </c>
      <c r="P16" s="62"/>
      <c r="Q16" s="62"/>
      <c r="R16" s="62"/>
      <c r="S16" s="62"/>
      <c r="T16" s="62"/>
      <c r="U16" s="62"/>
      <c r="V16" s="62"/>
    </row>
    <row r="17" ht="15.7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</row>
    <row r="18" ht="15.7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</row>
    <row r="19" ht="15.7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</row>
    <row r="20" ht="15.7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</row>
    <row r="21" ht="21.0" customHeight="1">
      <c r="A21" s="61" t="s">
        <v>579</v>
      </c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</row>
    <row r="22" ht="17.25" customHeight="1">
      <c r="A22" s="107" t="s">
        <v>558</v>
      </c>
      <c r="B22" s="124" t="s">
        <v>515</v>
      </c>
      <c r="C22" s="124" t="s">
        <v>559</v>
      </c>
      <c r="D22" s="124" t="s">
        <v>516</v>
      </c>
      <c r="E22" s="124" t="s">
        <v>560</v>
      </c>
      <c r="F22" s="124" t="s">
        <v>517</v>
      </c>
      <c r="G22" s="124" t="s">
        <v>561</v>
      </c>
      <c r="H22" s="124" t="s">
        <v>518</v>
      </c>
      <c r="I22" s="124" t="s">
        <v>562</v>
      </c>
      <c r="J22" s="124" t="s">
        <v>573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</row>
    <row r="23" ht="17.25" customHeight="1">
      <c r="A23" s="124" t="s">
        <v>515</v>
      </c>
      <c r="B23" s="109">
        <v>2000.0</v>
      </c>
      <c r="C23" s="109">
        <v>2160.0</v>
      </c>
      <c r="D23" s="109">
        <v>2400.0</v>
      </c>
      <c r="E23" s="109">
        <v>2560.0</v>
      </c>
      <c r="F23" s="109">
        <v>2720.0</v>
      </c>
      <c r="G23" s="109">
        <v>2880.0</v>
      </c>
      <c r="H23" s="109">
        <v>3040.0</v>
      </c>
      <c r="I23" s="109">
        <v>3200.0</v>
      </c>
      <c r="J23" s="109">
        <v>3360.0</v>
      </c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</row>
    <row r="24" ht="17.25" customHeight="1">
      <c r="A24" s="124" t="s">
        <v>559</v>
      </c>
      <c r="B24" s="109">
        <v>2160.0</v>
      </c>
      <c r="C24" s="109">
        <v>2480.0</v>
      </c>
      <c r="D24" s="109">
        <v>2720.0</v>
      </c>
      <c r="E24" s="109">
        <v>3040.0</v>
      </c>
      <c r="F24" s="109">
        <v>3200.0</v>
      </c>
      <c r="G24" s="109">
        <v>3440.0</v>
      </c>
      <c r="H24" s="109">
        <v>3760.0</v>
      </c>
      <c r="I24" s="109">
        <v>4000.0</v>
      </c>
      <c r="J24" s="109">
        <v>4240.0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</row>
    <row r="25" ht="17.25" customHeight="1">
      <c r="A25" s="124" t="s">
        <v>516</v>
      </c>
      <c r="B25" s="109">
        <v>2400.0</v>
      </c>
      <c r="C25" s="109">
        <v>2720.0</v>
      </c>
      <c r="D25" s="109">
        <v>3040.0</v>
      </c>
      <c r="E25" s="109">
        <v>3360.0</v>
      </c>
      <c r="F25" s="109">
        <v>3760.0</v>
      </c>
      <c r="G25" s="109">
        <v>4080.0</v>
      </c>
      <c r="H25" s="109">
        <v>4400.0</v>
      </c>
      <c r="I25" s="109">
        <v>4720.0</v>
      </c>
      <c r="J25" s="109">
        <v>5120.0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</row>
    <row r="26" ht="17.25" customHeight="1">
      <c r="A26" s="124" t="s">
        <v>560</v>
      </c>
      <c r="B26" s="109">
        <v>2560.0</v>
      </c>
      <c r="C26" s="109">
        <v>2960.0</v>
      </c>
      <c r="D26" s="109">
        <v>3360.0</v>
      </c>
      <c r="E26" s="109">
        <v>3840.0</v>
      </c>
      <c r="F26" s="109">
        <v>4240.0</v>
      </c>
      <c r="G26" s="109">
        <v>4640.0</v>
      </c>
      <c r="H26" s="109">
        <v>5120.0</v>
      </c>
      <c r="I26" s="109">
        <v>5520.0</v>
      </c>
      <c r="J26" s="109">
        <v>5920.0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</row>
    <row r="27" ht="17.25" customHeight="1">
      <c r="A27" s="124" t="s">
        <v>517</v>
      </c>
      <c r="B27" s="109">
        <v>2720.0</v>
      </c>
      <c r="C27" s="109">
        <v>3200.0</v>
      </c>
      <c r="D27" s="109">
        <v>3760.0</v>
      </c>
      <c r="E27" s="109">
        <v>4240.0</v>
      </c>
      <c r="F27" s="109">
        <v>4720.0</v>
      </c>
      <c r="G27" s="109">
        <v>5280.0</v>
      </c>
      <c r="H27" s="109">
        <v>5760.0</v>
      </c>
      <c r="I27" s="109">
        <v>6240.0</v>
      </c>
      <c r="J27" s="109">
        <v>6800.0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</row>
    <row r="28" ht="17.25" customHeight="1">
      <c r="A28" s="124" t="s">
        <v>561</v>
      </c>
      <c r="B28" s="109">
        <v>2880.0</v>
      </c>
      <c r="C28" s="109">
        <v>3440.0</v>
      </c>
      <c r="D28" s="109">
        <v>4080.0</v>
      </c>
      <c r="E28" s="109">
        <v>4640.0</v>
      </c>
      <c r="F28" s="109">
        <v>5280.0</v>
      </c>
      <c r="G28" s="109">
        <v>5840.0</v>
      </c>
      <c r="H28" s="109">
        <v>6480.0</v>
      </c>
      <c r="I28" s="109">
        <v>7040.0</v>
      </c>
      <c r="J28" s="109">
        <v>7600.0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</row>
    <row r="29" ht="17.25" customHeight="1">
      <c r="A29" s="124" t="s">
        <v>518</v>
      </c>
      <c r="B29" s="109">
        <v>3040.0</v>
      </c>
      <c r="C29" s="109">
        <v>3760.0</v>
      </c>
      <c r="D29" s="109">
        <v>4400.0</v>
      </c>
      <c r="E29" s="109">
        <v>5120.0</v>
      </c>
      <c r="F29" s="109">
        <v>5760.0</v>
      </c>
      <c r="G29" s="109">
        <v>6480.0</v>
      </c>
      <c r="H29" s="109">
        <v>7120.0</v>
      </c>
      <c r="I29" s="109">
        <v>7840.0</v>
      </c>
      <c r="J29" s="109">
        <v>8480.0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</row>
    <row r="30" ht="17.25" customHeight="1">
      <c r="A30" s="124" t="s">
        <v>562</v>
      </c>
      <c r="B30" s="109">
        <v>3200.0</v>
      </c>
      <c r="C30" s="109">
        <v>4000.0</v>
      </c>
      <c r="D30" s="109">
        <v>4720.0</v>
      </c>
      <c r="E30" s="109">
        <v>5520.0</v>
      </c>
      <c r="F30" s="109">
        <v>6240.0</v>
      </c>
      <c r="G30" s="109">
        <v>7040.0</v>
      </c>
      <c r="H30" s="109">
        <v>7840.0</v>
      </c>
      <c r="I30" s="109">
        <v>8560.0</v>
      </c>
      <c r="J30" s="109">
        <v>9360.0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</row>
    <row r="31" ht="17.25" customHeight="1">
      <c r="A31" s="124" t="s">
        <v>573</v>
      </c>
      <c r="B31" s="109">
        <v>3360.0</v>
      </c>
      <c r="C31" s="109">
        <v>4240.0</v>
      </c>
      <c r="D31" s="109">
        <v>5120.0</v>
      </c>
      <c r="E31" s="109">
        <v>5920.0</v>
      </c>
      <c r="F31" s="109">
        <v>6800.0</v>
      </c>
      <c r="G31" s="109">
        <v>7600.0</v>
      </c>
      <c r="H31" s="109">
        <v>8480.0</v>
      </c>
      <c r="I31" s="109">
        <v>9360.0</v>
      </c>
      <c r="J31" s="109">
        <v>10160.0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</row>
    <row r="35" ht="24.0" customHeight="1">
      <c r="A35" s="61" t="s">
        <v>580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</row>
    <row r="36" ht="18.75" customHeight="1">
      <c r="A36" s="107" t="s">
        <v>558</v>
      </c>
      <c r="B36" s="124" t="s">
        <v>515</v>
      </c>
      <c r="C36" s="124" t="s">
        <v>559</v>
      </c>
      <c r="D36" s="124" t="s">
        <v>516</v>
      </c>
      <c r="E36" s="124" t="s">
        <v>560</v>
      </c>
      <c r="F36" s="124" t="s">
        <v>517</v>
      </c>
      <c r="G36" s="124" t="s">
        <v>561</v>
      </c>
      <c r="H36" s="124" t="s">
        <v>518</v>
      </c>
      <c r="I36" s="124" t="s">
        <v>562</v>
      </c>
      <c r="J36" s="124" t="s">
        <v>573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</row>
    <row r="37" ht="15.75" customHeight="1">
      <c r="A37" s="124" t="s">
        <v>515</v>
      </c>
      <c r="B37" s="109">
        <f t="shared" ref="B37:J37" si="1">B3*2</f>
        <v>5000</v>
      </c>
      <c r="C37" s="109">
        <f t="shared" si="1"/>
        <v>5400</v>
      </c>
      <c r="D37" s="109">
        <f t="shared" si="1"/>
        <v>6000</v>
      </c>
      <c r="E37" s="109">
        <f t="shared" si="1"/>
        <v>6400</v>
      </c>
      <c r="F37" s="109">
        <f t="shared" si="1"/>
        <v>6800</v>
      </c>
      <c r="G37" s="109">
        <f t="shared" si="1"/>
        <v>7200</v>
      </c>
      <c r="H37" s="109">
        <f t="shared" si="1"/>
        <v>7600</v>
      </c>
      <c r="I37" s="109">
        <f t="shared" si="1"/>
        <v>8000</v>
      </c>
      <c r="J37" s="109">
        <f t="shared" si="1"/>
        <v>8400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</row>
    <row r="38" ht="15.75" customHeight="1">
      <c r="A38" s="124" t="s">
        <v>559</v>
      </c>
      <c r="B38" s="109">
        <f t="shared" ref="B38:J38" si="2">B4*2</f>
        <v>5400</v>
      </c>
      <c r="C38" s="109">
        <f t="shared" si="2"/>
        <v>6200</v>
      </c>
      <c r="D38" s="109">
        <f t="shared" si="2"/>
        <v>6800</v>
      </c>
      <c r="E38" s="109">
        <f t="shared" si="2"/>
        <v>7600</v>
      </c>
      <c r="F38" s="109">
        <f t="shared" si="2"/>
        <v>8000</v>
      </c>
      <c r="G38" s="109">
        <f t="shared" si="2"/>
        <v>8600</v>
      </c>
      <c r="H38" s="109">
        <f t="shared" si="2"/>
        <v>9400</v>
      </c>
      <c r="I38" s="109">
        <f t="shared" si="2"/>
        <v>10000</v>
      </c>
      <c r="J38" s="109">
        <f t="shared" si="2"/>
        <v>10600</v>
      </c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</row>
    <row r="39" ht="15.75" customHeight="1">
      <c r="A39" s="124" t="s">
        <v>516</v>
      </c>
      <c r="B39" s="109">
        <f t="shared" ref="B39:J39" si="3">B5*2</f>
        <v>6000</v>
      </c>
      <c r="C39" s="109">
        <f t="shared" si="3"/>
        <v>6800</v>
      </c>
      <c r="D39" s="109">
        <f t="shared" si="3"/>
        <v>7600</v>
      </c>
      <c r="E39" s="109">
        <f t="shared" si="3"/>
        <v>8400</v>
      </c>
      <c r="F39" s="109">
        <f t="shared" si="3"/>
        <v>9400</v>
      </c>
      <c r="G39" s="109">
        <f t="shared" si="3"/>
        <v>10200</v>
      </c>
      <c r="H39" s="109">
        <f t="shared" si="3"/>
        <v>11000</v>
      </c>
      <c r="I39" s="109">
        <f t="shared" si="3"/>
        <v>11800</v>
      </c>
      <c r="J39" s="109">
        <f t="shared" si="3"/>
        <v>12800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</row>
    <row r="40" ht="15.75" customHeight="1">
      <c r="A40" s="124" t="s">
        <v>560</v>
      </c>
      <c r="B40" s="109">
        <f t="shared" ref="B40:J40" si="4">B6*2</f>
        <v>6400</v>
      </c>
      <c r="C40" s="109">
        <f t="shared" si="4"/>
        <v>7400</v>
      </c>
      <c r="D40" s="109">
        <f t="shared" si="4"/>
        <v>8400</v>
      </c>
      <c r="E40" s="109">
        <f t="shared" si="4"/>
        <v>9600</v>
      </c>
      <c r="F40" s="109">
        <f t="shared" si="4"/>
        <v>10600</v>
      </c>
      <c r="G40" s="109">
        <f t="shared" si="4"/>
        <v>11600</v>
      </c>
      <c r="H40" s="109">
        <f t="shared" si="4"/>
        <v>12800</v>
      </c>
      <c r="I40" s="109">
        <f t="shared" si="4"/>
        <v>13800</v>
      </c>
      <c r="J40" s="109">
        <f t="shared" si="4"/>
        <v>14800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</row>
    <row r="41" ht="15.75" customHeight="1">
      <c r="A41" s="124" t="s">
        <v>517</v>
      </c>
      <c r="B41" s="109">
        <f t="shared" ref="B41:J41" si="5">B7*2</f>
        <v>6800</v>
      </c>
      <c r="C41" s="109">
        <f t="shared" si="5"/>
        <v>8000</v>
      </c>
      <c r="D41" s="109">
        <f t="shared" si="5"/>
        <v>9400</v>
      </c>
      <c r="E41" s="109">
        <f t="shared" si="5"/>
        <v>10600</v>
      </c>
      <c r="F41" s="109">
        <f t="shared" si="5"/>
        <v>11800</v>
      </c>
      <c r="G41" s="109">
        <f t="shared" si="5"/>
        <v>13200</v>
      </c>
      <c r="H41" s="109">
        <f t="shared" si="5"/>
        <v>14400</v>
      </c>
      <c r="I41" s="109">
        <f t="shared" si="5"/>
        <v>15600</v>
      </c>
      <c r="J41" s="109">
        <f t="shared" si="5"/>
        <v>17000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</row>
    <row r="42" ht="15.75" customHeight="1">
      <c r="A42" s="124" t="s">
        <v>561</v>
      </c>
      <c r="B42" s="109">
        <f t="shared" ref="B42:J42" si="6">B8*2</f>
        <v>7200</v>
      </c>
      <c r="C42" s="109">
        <f t="shared" si="6"/>
        <v>8600</v>
      </c>
      <c r="D42" s="109">
        <f t="shared" si="6"/>
        <v>10200</v>
      </c>
      <c r="E42" s="109">
        <f t="shared" si="6"/>
        <v>11600</v>
      </c>
      <c r="F42" s="109">
        <f t="shared" si="6"/>
        <v>13200</v>
      </c>
      <c r="G42" s="109">
        <f t="shared" si="6"/>
        <v>14600</v>
      </c>
      <c r="H42" s="109">
        <f t="shared" si="6"/>
        <v>16200</v>
      </c>
      <c r="I42" s="109">
        <f t="shared" si="6"/>
        <v>17600</v>
      </c>
      <c r="J42" s="109">
        <f t="shared" si="6"/>
        <v>19000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</row>
    <row r="43" ht="15.75" customHeight="1">
      <c r="A43" s="124" t="s">
        <v>518</v>
      </c>
      <c r="B43" s="109">
        <f t="shared" ref="B43:J43" si="7">B9*2</f>
        <v>7600</v>
      </c>
      <c r="C43" s="109">
        <f t="shared" si="7"/>
        <v>9400</v>
      </c>
      <c r="D43" s="109">
        <f t="shared" si="7"/>
        <v>11000</v>
      </c>
      <c r="E43" s="109">
        <f t="shared" si="7"/>
        <v>12800</v>
      </c>
      <c r="F43" s="109">
        <f t="shared" si="7"/>
        <v>14400</v>
      </c>
      <c r="G43" s="109">
        <f t="shared" si="7"/>
        <v>16200</v>
      </c>
      <c r="H43" s="109">
        <f t="shared" si="7"/>
        <v>17800</v>
      </c>
      <c r="I43" s="109">
        <f t="shared" si="7"/>
        <v>19600</v>
      </c>
      <c r="J43" s="109">
        <f t="shared" si="7"/>
        <v>21200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</row>
    <row r="44" ht="15.75" customHeight="1">
      <c r="A44" s="124" t="s">
        <v>562</v>
      </c>
      <c r="B44" s="109">
        <f t="shared" ref="B44:J44" si="8">B10*2</f>
        <v>8000</v>
      </c>
      <c r="C44" s="109">
        <f t="shared" si="8"/>
        <v>10000</v>
      </c>
      <c r="D44" s="109">
        <f t="shared" si="8"/>
        <v>11800</v>
      </c>
      <c r="E44" s="109">
        <f t="shared" si="8"/>
        <v>13800</v>
      </c>
      <c r="F44" s="109">
        <f t="shared" si="8"/>
        <v>15600</v>
      </c>
      <c r="G44" s="109">
        <f t="shared" si="8"/>
        <v>17600</v>
      </c>
      <c r="H44" s="109">
        <f t="shared" si="8"/>
        <v>19600</v>
      </c>
      <c r="I44" s="109">
        <f t="shared" si="8"/>
        <v>21400</v>
      </c>
      <c r="J44" s="109">
        <f t="shared" si="8"/>
        <v>23400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</row>
    <row r="45" ht="15.75" customHeight="1">
      <c r="A45" s="124" t="s">
        <v>573</v>
      </c>
      <c r="B45" s="109">
        <f t="shared" ref="B45:J45" si="9">B11*2</f>
        <v>8400</v>
      </c>
      <c r="C45" s="109">
        <f t="shared" si="9"/>
        <v>10600</v>
      </c>
      <c r="D45" s="109">
        <f t="shared" si="9"/>
        <v>12800</v>
      </c>
      <c r="E45" s="109">
        <f t="shared" si="9"/>
        <v>14800</v>
      </c>
      <c r="F45" s="109">
        <f t="shared" si="9"/>
        <v>17000</v>
      </c>
      <c r="G45" s="109">
        <f t="shared" si="9"/>
        <v>19000</v>
      </c>
      <c r="H45" s="109">
        <f t="shared" si="9"/>
        <v>21200</v>
      </c>
      <c r="I45" s="109">
        <f t="shared" si="9"/>
        <v>23400</v>
      </c>
      <c r="J45" s="109">
        <f t="shared" si="9"/>
        <v>25400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</row>
    <row r="49" ht="27.0" customHeight="1">
      <c r="A49" s="199" t="s">
        <v>581</v>
      </c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</row>
    <row r="50" ht="20.25" customHeight="1">
      <c r="A50" s="6" t="s">
        <v>582</v>
      </c>
      <c r="B50" s="6" t="s">
        <v>583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ht="15.75" customHeight="1">
      <c r="A51" s="6" t="s">
        <v>584</v>
      </c>
      <c r="B51" s="240">
        <v>0.0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</row>
    <row r="52" ht="15.75" customHeight="1">
      <c r="A52" s="6" t="s">
        <v>585</v>
      </c>
      <c r="B52" s="240">
        <v>0.1</v>
      </c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</row>
    <row r="53" ht="15.75" customHeight="1">
      <c r="A53" s="6" t="s">
        <v>586</v>
      </c>
      <c r="B53" s="240">
        <v>0.2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</row>
    <row r="54" ht="15.75" customHeight="1">
      <c r="A54" s="64" t="s">
        <v>587</v>
      </c>
      <c r="B54" s="241">
        <v>0.3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</row>
    <row r="55" ht="15.75" customHeight="1">
      <c r="A55" s="6" t="s">
        <v>588</v>
      </c>
      <c r="B55" s="240">
        <v>0.4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</row>
    <row r="56" ht="15.75" customHeight="1">
      <c r="A56" s="6" t="s">
        <v>589</v>
      </c>
      <c r="B56" s="240">
        <v>0.5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</row>
    <row r="57" ht="15.75" customHeight="1">
      <c r="A57" s="99" t="s">
        <v>345</v>
      </c>
      <c r="B57" s="240"/>
      <c r="C57" s="11"/>
      <c r="D57" s="11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</row>
    <row r="58" ht="15.75" customHeight="1">
      <c r="A58" s="242"/>
      <c r="B58" s="242"/>
      <c r="C58" s="11"/>
      <c r="D58" s="11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</row>
    <row r="59" ht="15.75" customHeight="1">
      <c r="A59" s="242"/>
      <c r="B59" s="242"/>
      <c r="C59" s="11"/>
      <c r="D59" s="11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ht="30.0" customHeight="1">
      <c r="A60" s="243" t="s">
        <v>590</v>
      </c>
      <c r="D60" s="11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</row>
    <row r="61" ht="15.75" customHeight="1">
      <c r="A61" s="5" t="s">
        <v>591</v>
      </c>
      <c r="B61" s="5" t="s">
        <v>592</v>
      </c>
      <c r="C61" s="5">
        <v>0.0</v>
      </c>
      <c r="D61" s="11"/>
      <c r="E61" s="11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ht="15.75" customHeight="1">
      <c r="B62" s="5" t="s">
        <v>593</v>
      </c>
      <c r="C62" s="5">
        <v>300.0</v>
      </c>
      <c r="D62" s="11"/>
      <c r="E62" s="11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ht="15.75" customHeight="1">
      <c r="B63" s="5" t="s">
        <v>594</v>
      </c>
      <c r="C63" s="5">
        <v>1100.0</v>
      </c>
      <c r="D63" s="11"/>
      <c r="E63" s="11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ht="15.75" customHeight="1">
      <c r="B64" s="5" t="s">
        <v>595</v>
      </c>
      <c r="C64" s="5">
        <v>1200.0</v>
      </c>
      <c r="D64" s="11"/>
      <c r="E64" s="11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ht="15.75" customHeight="1">
      <c r="A65" s="5" t="s">
        <v>596</v>
      </c>
      <c r="B65" s="5" t="s">
        <v>597</v>
      </c>
      <c r="C65" s="5">
        <v>600.0</v>
      </c>
      <c r="D65" s="11"/>
      <c r="E65" s="11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ht="15.75" customHeight="1">
      <c r="B66" s="5" t="s">
        <v>598</v>
      </c>
      <c r="C66" s="5">
        <v>1000.0</v>
      </c>
      <c r="D66" s="11"/>
      <c r="E66" s="11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ht="15.75" customHeight="1">
      <c r="A67" s="5" t="s">
        <v>599</v>
      </c>
      <c r="B67" s="5" t="s">
        <v>600</v>
      </c>
      <c r="C67" s="5">
        <v>800.0</v>
      </c>
      <c r="D67" s="11"/>
      <c r="E67" s="11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ht="15.75" customHeight="1">
      <c r="A68" s="5" t="s">
        <v>601</v>
      </c>
      <c r="B68" s="5" t="s">
        <v>602</v>
      </c>
      <c r="C68" s="5">
        <v>700.0</v>
      </c>
      <c r="D68" s="11"/>
      <c r="E68" s="11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ht="15.75" customHeight="1">
      <c r="A69" s="5" t="s">
        <v>603</v>
      </c>
      <c r="B69" s="5" t="s">
        <v>604</v>
      </c>
      <c r="C69" s="5">
        <v>700.0</v>
      </c>
      <c r="D69" s="11"/>
      <c r="E69" s="11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ht="15.75" customHeight="1">
      <c r="B70" s="5" t="s">
        <v>605</v>
      </c>
      <c r="C70" s="5">
        <v>1700.0</v>
      </c>
      <c r="D70" s="11"/>
      <c r="E70" s="11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244"/>
      <c r="Q70" s="62"/>
      <c r="R70" s="62"/>
      <c r="S70" s="62"/>
      <c r="T70" s="62"/>
      <c r="U70" s="62"/>
      <c r="V70" s="62"/>
    </row>
    <row r="71" ht="15.75" customHeight="1">
      <c r="A71" s="5" t="s">
        <v>606</v>
      </c>
      <c r="B71" s="5" t="s">
        <v>607</v>
      </c>
      <c r="C71" s="5">
        <v>2600.0</v>
      </c>
      <c r="D71" s="11"/>
      <c r="E71" s="11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244"/>
      <c r="Q71" s="62"/>
      <c r="R71" s="62"/>
      <c r="S71" s="62"/>
      <c r="T71" s="62"/>
      <c r="U71" s="62"/>
      <c r="V71" s="62"/>
    </row>
    <row r="72" ht="15.75" customHeight="1">
      <c r="B72" s="5" t="s">
        <v>608</v>
      </c>
      <c r="C72" s="5">
        <v>3000.0</v>
      </c>
      <c r="D72" s="11"/>
      <c r="E72" s="11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244"/>
      <c r="Q72" s="62"/>
      <c r="R72" s="62"/>
      <c r="S72" s="62"/>
      <c r="T72" s="62"/>
      <c r="U72" s="62"/>
      <c r="V72" s="62"/>
    </row>
    <row r="73" ht="15.75" customHeight="1">
      <c r="A73" s="5" t="s">
        <v>609</v>
      </c>
      <c r="B73" s="5" t="s">
        <v>610</v>
      </c>
      <c r="C73" s="245">
        <v>200.0</v>
      </c>
      <c r="D73" s="5"/>
      <c r="E73" s="11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244"/>
      <c r="Q73" s="62"/>
      <c r="R73" s="62"/>
      <c r="S73" s="62"/>
      <c r="T73" s="62"/>
      <c r="U73" s="62"/>
      <c r="V73" s="62"/>
    </row>
    <row r="74" ht="15.75" customHeight="1">
      <c r="B74" s="5" t="s">
        <v>611</v>
      </c>
      <c r="C74" s="245">
        <v>600.0</v>
      </c>
      <c r="D74" s="5"/>
      <c r="E74" s="11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244"/>
      <c r="Q74" s="62"/>
      <c r="R74" s="62"/>
      <c r="S74" s="62"/>
      <c r="T74" s="62"/>
      <c r="U74" s="62"/>
      <c r="V74" s="62"/>
    </row>
    <row r="75" ht="15.75" customHeight="1">
      <c r="A75" s="5" t="s">
        <v>612</v>
      </c>
      <c r="B75" s="5" t="s">
        <v>613</v>
      </c>
      <c r="C75" s="5">
        <v>1000.0</v>
      </c>
      <c r="D75" s="5" t="s">
        <v>614</v>
      </c>
      <c r="E75" s="11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244"/>
      <c r="Q75" s="62"/>
      <c r="R75" s="62"/>
      <c r="S75" s="62"/>
      <c r="T75" s="62"/>
      <c r="U75" s="62"/>
      <c r="V75" s="62"/>
    </row>
    <row r="76" ht="15.75" customHeight="1">
      <c r="A76" s="5" t="s">
        <v>615</v>
      </c>
      <c r="B76" s="5" t="s">
        <v>616</v>
      </c>
      <c r="C76" s="5">
        <v>500.0</v>
      </c>
      <c r="D76" s="11"/>
      <c r="E76" s="11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ht="15.75" customHeight="1">
      <c r="A77" s="5" t="s">
        <v>617</v>
      </c>
      <c r="B77" s="5" t="s">
        <v>618</v>
      </c>
      <c r="C77" s="5">
        <v>0.0</v>
      </c>
      <c r="D77" s="11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ht="15.75" customHeight="1">
      <c r="B78" s="5" t="s">
        <v>619</v>
      </c>
      <c r="C78" s="5">
        <v>0.0</v>
      </c>
      <c r="D78" s="11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ht="15.75" customHeight="1">
      <c r="B79" s="5" t="s">
        <v>620</v>
      </c>
      <c r="C79" s="5">
        <v>0.0</v>
      </c>
      <c r="D79" s="11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ht="15.75" customHeight="1">
      <c r="B80" s="5" t="s">
        <v>621</v>
      </c>
      <c r="C80" s="5">
        <v>0.0</v>
      </c>
      <c r="D80" s="11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ht="15.75" customHeight="1">
      <c r="B81" s="5" t="s">
        <v>622</v>
      </c>
      <c r="C81" s="5">
        <v>0.0</v>
      </c>
      <c r="D81" s="11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ht="15.75" customHeight="1">
      <c r="B82" s="5" t="s">
        <v>623</v>
      </c>
      <c r="C82" s="5">
        <v>0.0</v>
      </c>
      <c r="D82" s="11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ht="15.75" customHeight="1">
      <c r="B83" s="5" t="s">
        <v>624</v>
      </c>
      <c r="C83" s="5">
        <v>0.0</v>
      </c>
      <c r="D83" s="11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ht="15.75" customHeight="1">
      <c r="B84" s="5" t="s">
        <v>625</v>
      </c>
      <c r="C84" s="5">
        <v>0.0</v>
      </c>
      <c r="D84" s="11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ht="15.75" customHeight="1">
      <c r="B85" s="5" t="s">
        <v>626</v>
      </c>
      <c r="C85" s="5">
        <v>0.0</v>
      </c>
      <c r="D85" s="11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ht="15.75" customHeight="1">
      <c r="B86" s="5" t="s">
        <v>627</v>
      </c>
      <c r="C86" s="5">
        <v>0.0</v>
      </c>
      <c r="D86" s="11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ht="15.75" customHeight="1">
      <c r="A87" s="11"/>
      <c r="B87" s="11"/>
      <c r="C87" s="11"/>
      <c r="D87" s="11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</row>
    <row r="88" ht="15.75" customHeight="1">
      <c r="A88" s="11"/>
      <c r="B88" s="11"/>
      <c r="C88" s="11"/>
      <c r="D88" s="11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ht="15.75" customHeight="1">
      <c r="A89" s="11"/>
      <c r="B89" s="11"/>
      <c r="C89" s="11"/>
      <c r="D89" s="11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ht="26.25" customHeight="1">
      <c r="A90" s="61" t="s">
        <v>628</v>
      </c>
      <c r="H90" s="65"/>
      <c r="I90" s="65"/>
      <c r="J90" s="65"/>
      <c r="K90" s="65"/>
      <c r="L90" s="65"/>
      <c r="M90" s="65"/>
      <c r="N90" s="65"/>
      <c r="O90" s="65"/>
      <c r="P90" s="62"/>
      <c r="Q90" s="62"/>
      <c r="R90" s="62"/>
      <c r="S90" s="62"/>
      <c r="T90" s="62"/>
      <c r="U90" s="62"/>
      <c r="V90" s="62"/>
    </row>
    <row r="91" ht="15.75" customHeight="1">
      <c r="A91" s="107" t="s">
        <v>558</v>
      </c>
      <c r="B91" s="124" t="s">
        <v>559</v>
      </c>
      <c r="C91" s="124" t="s">
        <v>516</v>
      </c>
      <c r="D91" s="124" t="s">
        <v>560</v>
      </c>
      <c r="E91" s="124" t="s">
        <v>517</v>
      </c>
      <c r="F91" s="124" t="s">
        <v>561</v>
      </c>
      <c r="G91" s="124" t="s">
        <v>518</v>
      </c>
      <c r="H91" s="79"/>
      <c r="I91" s="107"/>
      <c r="J91" s="124"/>
      <c r="K91" s="124"/>
      <c r="L91" s="124"/>
      <c r="M91" s="124"/>
      <c r="N91" s="124"/>
      <c r="O91" s="124"/>
      <c r="P91" s="62"/>
      <c r="Q91" s="62"/>
      <c r="R91" s="62"/>
      <c r="S91" s="62"/>
      <c r="T91" s="62"/>
      <c r="U91" s="62"/>
      <c r="V91" s="62"/>
    </row>
    <row r="92" ht="15.75" customHeight="1">
      <c r="A92" s="124" t="s">
        <v>559</v>
      </c>
      <c r="B92" s="112">
        <v>3600.0</v>
      </c>
      <c r="C92" s="112">
        <v>4400.0</v>
      </c>
      <c r="D92" s="112">
        <v>4400.0</v>
      </c>
      <c r="E92" s="112">
        <v>5200.0</v>
      </c>
      <c r="F92" s="112">
        <v>5200.0</v>
      </c>
      <c r="G92" s="112">
        <v>6400.0</v>
      </c>
      <c r="H92" s="109"/>
      <c r="I92" s="124"/>
      <c r="J92" s="112"/>
      <c r="K92" s="112"/>
      <c r="L92" s="112"/>
      <c r="M92" s="112"/>
      <c r="N92" s="112"/>
      <c r="O92" s="112"/>
      <c r="P92" s="62"/>
      <c r="Q92" s="62"/>
      <c r="R92" s="62"/>
      <c r="S92" s="62"/>
      <c r="T92" s="62"/>
      <c r="U92" s="62"/>
      <c r="V92" s="62"/>
    </row>
    <row r="93" ht="15.75" customHeight="1">
      <c r="A93" s="124" t="s">
        <v>516</v>
      </c>
      <c r="B93" s="112">
        <v>4400.0</v>
      </c>
      <c r="C93" s="112">
        <v>4400.0</v>
      </c>
      <c r="D93" s="112">
        <v>5200.0</v>
      </c>
      <c r="E93" s="112">
        <v>5200.0</v>
      </c>
      <c r="F93" s="112">
        <v>6400.0</v>
      </c>
      <c r="G93" s="112">
        <v>6400.0</v>
      </c>
      <c r="H93" s="109"/>
      <c r="I93" s="124"/>
      <c r="J93" s="124"/>
      <c r="K93" s="112"/>
      <c r="L93" s="112"/>
      <c r="M93" s="112"/>
      <c r="N93" s="112"/>
      <c r="O93" s="112"/>
      <c r="P93" s="62"/>
      <c r="Q93" s="62"/>
      <c r="R93" s="62"/>
      <c r="S93" s="62"/>
      <c r="T93" s="62"/>
      <c r="U93" s="62"/>
      <c r="V93" s="62"/>
    </row>
    <row r="94" ht="15.75" customHeight="1">
      <c r="A94" s="124" t="s">
        <v>560</v>
      </c>
      <c r="B94" s="112">
        <v>4400.0</v>
      </c>
      <c r="C94" s="112">
        <v>5200.0</v>
      </c>
      <c r="D94" s="112">
        <v>5200.0</v>
      </c>
      <c r="E94" s="112">
        <v>6400.0</v>
      </c>
      <c r="F94" s="112">
        <v>6400.0</v>
      </c>
      <c r="G94" s="112">
        <v>8000.0</v>
      </c>
      <c r="H94" s="109"/>
      <c r="I94" s="124"/>
      <c r="J94" s="112"/>
      <c r="K94" s="124"/>
      <c r="L94" s="112"/>
      <c r="M94" s="112"/>
      <c r="N94" s="112"/>
      <c r="O94" s="112"/>
      <c r="P94" s="62"/>
      <c r="Q94" s="62"/>
      <c r="R94" s="62"/>
      <c r="S94" s="62"/>
      <c r="T94" s="62"/>
      <c r="U94" s="62"/>
      <c r="V94" s="62"/>
    </row>
    <row r="95" ht="15.75" customHeight="1">
      <c r="A95" s="124" t="s">
        <v>517</v>
      </c>
      <c r="B95" s="112">
        <v>5200.0</v>
      </c>
      <c r="C95" s="112">
        <v>5200.0</v>
      </c>
      <c r="D95" s="112">
        <v>6400.0</v>
      </c>
      <c r="E95" s="112">
        <v>6400.0</v>
      </c>
      <c r="F95" s="112">
        <v>8000.0</v>
      </c>
      <c r="G95" s="112">
        <v>8000.0</v>
      </c>
      <c r="H95" s="109"/>
      <c r="I95" s="124"/>
      <c r="J95" s="112"/>
      <c r="K95" s="112"/>
      <c r="L95" s="124"/>
      <c r="M95" s="112"/>
      <c r="N95" s="112"/>
      <c r="O95" s="112"/>
      <c r="P95" s="62"/>
      <c r="Q95" s="62"/>
      <c r="R95" s="62"/>
      <c r="S95" s="62"/>
      <c r="T95" s="62"/>
      <c r="U95" s="62"/>
      <c r="V95" s="62"/>
    </row>
    <row r="96" ht="15.75" customHeight="1">
      <c r="A96" s="124" t="s">
        <v>561</v>
      </c>
      <c r="B96" s="112">
        <v>5200.0</v>
      </c>
      <c r="C96" s="112">
        <v>6400.0</v>
      </c>
      <c r="D96" s="112">
        <v>6400.0</v>
      </c>
      <c r="E96" s="112">
        <v>8000.0</v>
      </c>
      <c r="F96" s="112">
        <v>8000.0</v>
      </c>
      <c r="G96" s="112">
        <v>8400.0</v>
      </c>
      <c r="H96" s="109"/>
      <c r="I96" s="124"/>
      <c r="J96" s="112"/>
      <c r="K96" s="112"/>
      <c r="L96" s="112"/>
      <c r="M96" s="124"/>
      <c r="N96" s="112"/>
      <c r="O96" s="112"/>
      <c r="P96" s="62"/>
      <c r="Q96" s="62"/>
      <c r="R96" s="62"/>
      <c r="S96" s="62"/>
      <c r="T96" s="62"/>
      <c r="U96" s="62"/>
      <c r="V96" s="62"/>
    </row>
    <row r="97" ht="15.75" customHeight="1">
      <c r="A97" s="124" t="s">
        <v>518</v>
      </c>
      <c r="B97" s="112">
        <v>6400.0</v>
      </c>
      <c r="C97" s="112">
        <v>6400.0</v>
      </c>
      <c r="D97" s="112">
        <v>8000.0</v>
      </c>
      <c r="E97" s="112">
        <v>8000.0</v>
      </c>
      <c r="F97" s="112">
        <v>8400.0</v>
      </c>
      <c r="G97" s="112">
        <v>8400.0</v>
      </c>
      <c r="H97" s="109"/>
      <c r="I97" s="124"/>
      <c r="J97" s="112"/>
      <c r="K97" s="112"/>
      <c r="L97" s="112"/>
      <c r="M97" s="112"/>
      <c r="N97" s="124"/>
      <c r="O97" s="112"/>
      <c r="P97" s="62"/>
      <c r="Q97" s="62"/>
      <c r="R97" s="62"/>
      <c r="S97" s="62"/>
      <c r="T97" s="62"/>
      <c r="U97" s="62"/>
      <c r="V97" s="62"/>
    </row>
    <row r="98" ht="15.75" customHeight="1">
      <c r="B98" s="109"/>
      <c r="C98" s="109"/>
      <c r="D98" s="109"/>
      <c r="E98" s="109"/>
      <c r="F98" s="109"/>
      <c r="G98" s="109"/>
      <c r="H98" s="109"/>
      <c r="I98" s="109"/>
      <c r="J98" s="109"/>
      <c r="K98" s="71"/>
      <c r="L98" s="71"/>
      <c r="M98" s="71"/>
      <c r="N98" s="71"/>
      <c r="O98" s="71"/>
      <c r="P98" s="62"/>
      <c r="Q98" s="62"/>
      <c r="R98" s="62"/>
      <c r="S98" s="62"/>
      <c r="T98" s="62"/>
      <c r="U98" s="62"/>
      <c r="V98" s="62"/>
    </row>
    <row r="99" ht="15.75" customHeight="1">
      <c r="A99" s="124"/>
      <c r="B99" s="109"/>
      <c r="C99" s="109"/>
      <c r="D99" s="109"/>
      <c r="E99" s="109"/>
      <c r="F99" s="109"/>
      <c r="G99" s="109"/>
      <c r="H99" s="109"/>
      <c r="I99" s="109"/>
      <c r="J99" s="109"/>
      <c r="K99" s="71"/>
      <c r="L99" s="71"/>
      <c r="M99" s="71"/>
      <c r="N99" s="71"/>
      <c r="O99" s="71"/>
      <c r="P99" s="62"/>
      <c r="Q99" s="62"/>
      <c r="R99" s="62"/>
      <c r="S99" s="62"/>
      <c r="T99" s="62"/>
      <c r="U99" s="62"/>
      <c r="V99" s="62"/>
    </row>
    <row r="100" ht="15.75" customHeight="1">
      <c r="A100" s="124"/>
      <c r="B100" s="109"/>
      <c r="C100" s="109"/>
      <c r="D100" s="109"/>
      <c r="E100" s="109"/>
      <c r="F100" s="109"/>
      <c r="G100" s="109"/>
      <c r="H100" s="109"/>
      <c r="I100" s="109"/>
      <c r="J100" s="109"/>
      <c r="K100" s="71"/>
      <c r="L100" s="71"/>
      <c r="M100" s="71"/>
      <c r="N100" s="71"/>
      <c r="O100" s="71"/>
      <c r="P100" s="62"/>
      <c r="Q100" s="62"/>
      <c r="R100" s="62"/>
      <c r="S100" s="62"/>
      <c r="T100" s="62"/>
      <c r="U100" s="62"/>
      <c r="V100" s="62"/>
    </row>
    <row r="101" ht="15.75" customHeight="1">
      <c r="A101" s="124"/>
      <c r="B101" s="109"/>
      <c r="C101" s="109"/>
      <c r="D101" s="109"/>
      <c r="E101" s="109"/>
      <c r="F101" s="109"/>
      <c r="G101" s="109"/>
      <c r="H101" s="109"/>
      <c r="I101" s="109"/>
      <c r="J101" s="109"/>
      <c r="K101" s="71"/>
      <c r="L101" s="71"/>
      <c r="M101" s="71"/>
      <c r="N101" s="71"/>
      <c r="O101" s="71"/>
      <c r="P101" s="62"/>
      <c r="Q101" s="62"/>
      <c r="R101" s="62"/>
      <c r="S101" s="62"/>
      <c r="T101" s="62"/>
      <c r="U101" s="62"/>
      <c r="V101" s="62"/>
    </row>
    <row r="102" ht="24.0" customHeight="1">
      <c r="A102" s="61" t="s">
        <v>629</v>
      </c>
      <c r="C102" s="65"/>
      <c r="D102" s="199" t="s">
        <v>630</v>
      </c>
      <c r="F102" s="65"/>
      <c r="G102" s="65"/>
      <c r="H102" s="65"/>
      <c r="I102" s="65"/>
      <c r="J102" s="65"/>
      <c r="K102" s="71"/>
      <c r="L102" s="71"/>
      <c r="M102" s="71"/>
      <c r="N102" s="71"/>
      <c r="O102" s="71"/>
      <c r="P102" s="62"/>
      <c r="Q102" s="62"/>
      <c r="R102" s="62"/>
      <c r="S102" s="62"/>
      <c r="T102" s="62"/>
      <c r="U102" s="62"/>
      <c r="V102" s="62"/>
    </row>
    <row r="103" ht="15.75" customHeight="1">
      <c r="A103" s="107" t="s">
        <v>393</v>
      </c>
      <c r="B103" s="124" t="s">
        <v>414</v>
      </c>
      <c r="C103" s="124"/>
      <c r="D103" s="6" t="s">
        <v>582</v>
      </c>
      <c r="E103" s="6" t="s">
        <v>583</v>
      </c>
      <c r="F103" s="124"/>
      <c r="G103" s="124"/>
      <c r="H103" s="124"/>
      <c r="I103" s="107"/>
      <c r="J103" s="124"/>
      <c r="K103" s="71"/>
      <c r="L103" s="71"/>
      <c r="M103" s="71"/>
      <c r="N103" s="71"/>
      <c r="O103" s="71"/>
      <c r="P103" s="62"/>
      <c r="Q103" s="62"/>
      <c r="R103" s="62"/>
      <c r="S103" s="62"/>
      <c r="T103" s="62"/>
      <c r="U103" s="62"/>
      <c r="V103" s="62"/>
    </row>
    <row r="104" ht="15.75" customHeight="1">
      <c r="A104" s="130" t="s">
        <v>631</v>
      </c>
      <c r="B104" s="112">
        <v>5800.0</v>
      </c>
      <c r="C104" s="246"/>
      <c r="D104" s="6" t="s">
        <v>584</v>
      </c>
      <c r="E104" s="240">
        <v>0.0</v>
      </c>
      <c r="F104" s="247"/>
      <c r="G104" s="247"/>
      <c r="H104" s="247"/>
      <c r="I104" s="133"/>
      <c r="J104" s="112"/>
      <c r="K104" s="71"/>
      <c r="L104" s="71"/>
      <c r="M104" s="71"/>
      <c r="N104" s="71"/>
      <c r="O104" s="71"/>
      <c r="P104" s="62"/>
      <c r="Q104" s="62"/>
      <c r="R104" s="62"/>
      <c r="S104" s="62"/>
      <c r="T104" s="62"/>
      <c r="U104" s="62"/>
      <c r="V104" s="62"/>
    </row>
    <row r="105" ht="15.75" customHeight="1">
      <c r="A105" s="248" t="s">
        <v>632</v>
      </c>
      <c r="B105" s="39">
        <v>5800.0</v>
      </c>
      <c r="C105" s="246"/>
      <c r="D105" s="6" t="s">
        <v>585</v>
      </c>
      <c r="E105" s="240">
        <v>0.1</v>
      </c>
      <c r="F105" s="249"/>
      <c r="G105" s="249"/>
      <c r="H105" s="249"/>
      <c r="I105" s="133"/>
      <c r="J105" s="12"/>
      <c r="K105" s="71"/>
      <c r="L105" s="71"/>
      <c r="M105" s="71"/>
      <c r="N105" s="71"/>
      <c r="O105" s="71"/>
      <c r="P105" s="62"/>
      <c r="Q105" s="62"/>
      <c r="R105" s="62"/>
      <c r="S105" s="62"/>
      <c r="T105" s="62"/>
      <c r="U105" s="62"/>
      <c r="V105" s="62"/>
    </row>
    <row r="106" ht="15.75" customHeight="1">
      <c r="A106" s="248" t="s">
        <v>633</v>
      </c>
      <c r="B106" s="39">
        <v>6300.0</v>
      </c>
      <c r="C106" s="246"/>
      <c r="D106" s="6" t="s">
        <v>634</v>
      </c>
      <c r="E106" s="240">
        <v>0.2</v>
      </c>
      <c r="F106" s="249"/>
      <c r="G106" s="249"/>
      <c r="H106" s="249"/>
      <c r="I106" s="133"/>
      <c r="J106" s="12"/>
      <c r="K106" s="71"/>
      <c r="L106" s="71"/>
      <c r="M106" s="71"/>
      <c r="N106" s="71"/>
      <c r="O106" s="71"/>
      <c r="P106" s="62"/>
      <c r="Q106" s="62"/>
      <c r="R106" s="62"/>
      <c r="S106" s="62"/>
      <c r="T106" s="62"/>
      <c r="U106" s="62"/>
      <c r="V106" s="62"/>
    </row>
    <row r="107" ht="15.75" customHeight="1">
      <c r="A107" s="248" t="s">
        <v>635</v>
      </c>
      <c r="B107" s="39">
        <v>6900.0</v>
      </c>
      <c r="C107" s="246"/>
      <c r="D107" s="249"/>
      <c r="E107" s="249"/>
      <c r="F107" s="249"/>
      <c r="G107" s="249"/>
      <c r="H107" s="249"/>
      <c r="I107" s="133"/>
      <c r="J107" s="12"/>
      <c r="K107" s="71"/>
      <c r="L107" s="71"/>
      <c r="M107" s="71"/>
      <c r="N107" s="71"/>
      <c r="O107" s="71"/>
      <c r="P107" s="62"/>
      <c r="Q107" s="62"/>
      <c r="R107" s="62"/>
      <c r="S107" s="62"/>
      <c r="T107" s="62"/>
      <c r="U107" s="62"/>
      <c r="V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</row>
    <row r="111" ht="28.5" customHeight="1"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</row>
    <row r="112" ht="18.0" customHeight="1"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</row>
    <row r="113" ht="18.0" customHeight="1"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</row>
    <row r="114" ht="18.0" customHeight="1"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</row>
    <row r="115" ht="18.0" customHeight="1"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</row>
    <row r="116" ht="18.0" customHeight="1">
      <c r="A116" s="64"/>
      <c r="B116" s="241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</row>
    <row r="117" ht="18.0" customHeight="1">
      <c r="A117" s="6"/>
      <c r="B117" s="240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</row>
    <row r="118" ht="18.0" customHeight="1">
      <c r="A118" s="6"/>
      <c r="B118" s="240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mergeCells count="14">
    <mergeCell ref="A69:A70"/>
    <mergeCell ref="A71:A72"/>
    <mergeCell ref="A73:A74"/>
    <mergeCell ref="A77:A86"/>
    <mergeCell ref="A90:G90"/>
    <mergeCell ref="A102:B102"/>
    <mergeCell ref="D102:E102"/>
    <mergeCell ref="A1:O1"/>
    <mergeCell ref="A21:J21"/>
    <mergeCell ref="A35:J35"/>
    <mergeCell ref="A49:B49"/>
    <mergeCell ref="A60:C60"/>
    <mergeCell ref="A61:A64"/>
    <mergeCell ref="A65:A6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9" width="11.13"/>
  </cols>
  <sheetData>
    <row r="1" ht="24.75" customHeight="1">
      <c r="A1" s="199" t="s">
        <v>636</v>
      </c>
      <c r="F1" s="250" t="s">
        <v>637</v>
      </c>
      <c r="G1" s="251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ht="15.75" customHeight="1">
      <c r="A2" s="65" t="s">
        <v>558</v>
      </c>
      <c r="B2" s="63" t="s">
        <v>638</v>
      </c>
      <c r="C2" s="63" t="s">
        <v>639</v>
      </c>
      <c r="D2" s="63" t="s">
        <v>640</v>
      </c>
      <c r="E2" s="63" t="s">
        <v>641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ht="15.75" customHeight="1">
      <c r="A3" s="63" t="s">
        <v>638</v>
      </c>
      <c r="B3" s="113">
        <v>12000.0</v>
      </c>
      <c r="C3" s="113">
        <v>12000.0</v>
      </c>
      <c r="D3" s="113">
        <v>20000.0</v>
      </c>
      <c r="E3" s="113">
        <v>20000.0</v>
      </c>
      <c r="F3" s="62"/>
      <c r="G3" s="239"/>
      <c r="H3" s="149"/>
      <c r="I3" s="62"/>
      <c r="J3" s="62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62"/>
      <c r="X3" s="62"/>
      <c r="Y3" s="62"/>
    </row>
    <row r="4" ht="15.75" customHeight="1">
      <c r="A4" s="63" t="s">
        <v>639</v>
      </c>
      <c r="B4" s="113">
        <v>12000.0</v>
      </c>
      <c r="C4" s="113">
        <v>20000.0</v>
      </c>
      <c r="D4" s="113">
        <v>20000.0</v>
      </c>
      <c r="E4" s="113">
        <v>20000.0</v>
      </c>
      <c r="F4" s="62"/>
      <c r="G4" s="239"/>
      <c r="H4" s="149"/>
      <c r="I4" s="62"/>
      <c r="J4" s="62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62"/>
      <c r="X4" s="62"/>
      <c r="Y4" s="62"/>
    </row>
    <row r="5" ht="15.75" customHeight="1">
      <c r="A5" s="63" t="s">
        <v>640</v>
      </c>
      <c r="B5" s="113">
        <v>20000.0</v>
      </c>
      <c r="C5" s="113">
        <v>20000.0</v>
      </c>
      <c r="D5" s="252">
        <v>20000.0</v>
      </c>
      <c r="E5" s="253">
        <v>24000.0</v>
      </c>
      <c r="F5" s="254" t="s">
        <v>642</v>
      </c>
      <c r="G5" s="239"/>
      <c r="H5" s="149"/>
      <c r="I5" s="62"/>
      <c r="J5" s="62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62"/>
      <c r="X5" s="62"/>
      <c r="Y5" s="62"/>
    </row>
    <row r="6" ht="15.75" customHeight="1">
      <c r="A6" s="63" t="s">
        <v>641</v>
      </c>
      <c r="B6" s="113">
        <v>20000.0</v>
      </c>
      <c r="C6" s="113">
        <v>20000.0</v>
      </c>
      <c r="D6" s="253">
        <v>24000.0</v>
      </c>
      <c r="E6" s="253">
        <v>28800.0</v>
      </c>
      <c r="F6" s="62"/>
      <c r="G6" s="62"/>
      <c r="H6" s="149"/>
      <c r="I6" s="62"/>
      <c r="J6" s="62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62"/>
      <c r="X6" s="62"/>
      <c r="Y6" s="62"/>
    </row>
    <row r="7" ht="15.75" customHeight="1">
      <c r="A7" s="63" t="s">
        <v>643</v>
      </c>
      <c r="B7" s="113">
        <v>20000.0</v>
      </c>
      <c r="C7" s="113">
        <v>22400.0</v>
      </c>
      <c r="D7" s="253">
        <v>28000.0</v>
      </c>
      <c r="E7" s="253">
        <v>33600.0</v>
      </c>
      <c r="F7" s="62"/>
      <c r="G7" s="62"/>
      <c r="H7" s="62"/>
      <c r="I7" s="62"/>
      <c r="J7" s="62"/>
      <c r="K7" s="71"/>
      <c r="L7" s="65"/>
      <c r="M7" s="65"/>
      <c r="N7" s="65"/>
      <c r="O7" s="65"/>
      <c r="P7" s="65"/>
      <c r="Q7" s="65"/>
      <c r="R7" s="65"/>
      <c r="S7" s="65"/>
      <c r="T7" s="65"/>
      <c r="U7" s="65"/>
      <c r="V7" s="71"/>
      <c r="W7" s="62"/>
      <c r="X7" s="62"/>
      <c r="Y7" s="62"/>
    </row>
    <row r="8" ht="15.75" customHeight="1">
      <c r="A8" s="63" t="s">
        <v>644</v>
      </c>
      <c r="B8" s="113">
        <v>20000.0</v>
      </c>
      <c r="C8" s="113">
        <v>25600.0</v>
      </c>
      <c r="D8" s="253">
        <v>32000.0</v>
      </c>
      <c r="E8" s="253">
        <v>38400.0</v>
      </c>
      <c r="F8" s="62"/>
      <c r="G8" s="62"/>
      <c r="H8" s="62"/>
      <c r="I8" s="62"/>
      <c r="J8" s="62"/>
      <c r="K8" s="71"/>
      <c r="L8" s="107"/>
      <c r="M8" s="124"/>
      <c r="N8" s="124"/>
      <c r="O8" s="124"/>
      <c r="P8" s="124"/>
      <c r="Q8" s="124"/>
      <c r="R8" s="124"/>
      <c r="S8" s="124"/>
      <c r="T8" s="124"/>
      <c r="U8" s="124"/>
      <c r="V8" s="71"/>
      <c r="W8" s="62"/>
      <c r="X8" s="62"/>
      <c r="Y8" s="62"/>
    </row>
    <row r="9" ht="15.75" customHeight="1">
      <c r="A9" s="63" t="s">
        <v>645</v>
      </c>
      <c r="B9" s="113">
        <v>21600.0</v>
      </c>
      <c r="C9" s="113">
        <v>28800.0</v>
      </c>
      <c r="D9" s="253">
        <v>36000.0</v>
      </c>
      <c r="E9" s="253">
        <v>43200.0</v>
      </c>
      <c r="F9" s="62"/>
      <c r="G9" s="62"/>
      <c r="H9" s="62"/>
      <c r="I9" s="62"/>
      <c r="J9" s="62"/>
      <c r="K9" s="71"/>
      <c r="L9" s="124"/>
      <c r="M9" s="109"/>
      <c r="N9" s="109"/>
      <c r="O9" s="109"/>
      <c r="P9" s="109"/>
      <c r="Q9" s="109"/>
      <c r="R9" s="109"/>
      <c r="S9" s="109"/>
      <c r="T9" s="109"/>
      <c r="U9" s="109"/>
      <c r="V9" s="71"/>
      <c r="W9" s="62"/>
      <c r="X9" s="62"/>
      <c r="Y9" s="62"/>
    </row>
    <row r="10" ht="15.75" customHeight="1">
      <c r="A10" s="63" t="s">
        <v>646</v>
      </c>
      <c r="B10" s="113">
        <v>24000.0</v>
      </c>
      <c r="C10" s="113">
        <v>32000.0</v>
      </c>
      <c r="D10" s="253">
        <v>40000.0</v>
      </c>
      <c r="E10" s="253">
        <v>48000.0</v>
      </c>
      <c r="F10" s="62"/>
      <c r="G10" s="62"/>
      <c r="H10" s="62"/>
      <c r="I10" s="62"/>
      <c r="J10" s="62"/>
      <c r="K10" s="71"/>
      <c r="L10" s="124"/>
      <c r="M10" s="109"/>
      <c r="N10" s="109"/>
      <c r="O10" s="109"/>
      <c r="P10" s="109"/>
      <c r="Q10" s="109"/>
      <c r="R10" s="109"/>
      <c r="S10" s="109"/>
      <c r="T10" s="109"/>
      <c r="U10" s="109"/>
      <c r="V10" s="71"/>
      <c r="W10" s="62"/>
      <c r="X10" s="62"/>
      <c r="Y10" s="62"/>
    </row>
    <row r="11" ht="15.75" customHeight="1">
      <c r="A11" s="63" t="s">
        <v>647</v>
      </c>
      <c r="B11" s="113">
        <v>26400.0</v>
      </c>
      <c r="C11" s="113">
        <v>35200.0</v>
      </c>
      <c r="D11" s="253">
        <v>44000.0</v>
      </c>
      <c r="E11" s="253">
        <v>52800.0</v>
      </c>
      <c r="F11" s="62"/>
      <c r="G11" s="62"/>
      <c r="H11" s="62"/>
      <c r="I11" s="62"/>
      <c r="J11" s="62"/>
      <c r="K11" s="62"/>
      <c r="L11" s="124"/>
      <c r="M11" s="109"/>
      <c r="N11" s="109"/>
      <c r="O11" s="109"/>
      <c r="P11" s="109"/>
      <c r="Q11" s="109"/>
      <c r="R11" s="109"/>
      <c r="S11" s="109"/>
      <c r="T11" s="109"/>
      <c r="U11" s="109"/>
      <c r="V11" s="62"/>
      <c r="W11" s="62"/>
      <c r="X11" s="62"/>
      <c r="Y11" s="62"/>
    </row>
    <row r="12" ht="15.75" customHeight="1">
      <c r="A12" s="63" t="s">
        <v>648</v>
      </c>
      <c r="B12" s="113">
        <v>28800.0</v>
      </c>
      <c r="C12" s="113">
        <v>38400.0</v>
      </c>
      <c r="D12" s="253">
        <v>48000.0</v>
      </c>
      <c r="E12" s="253">
        <v>57600.0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ht="15.75" customHeight="1">
      <c r="A13" s="63" t="s">
        <v>649</v>
      </c>
      <c r="B13" s="113">
        <v>31200.0</v>
      </c>
      <c r="C13" s="113">
        <v>41600.0</v>
      </c>
      <c r="D13" s="253">
        <v>52000.0</v>
      </c>
      <c r="E13" s="253">
        <v>62400.0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ht="15.75" customHeight="1">
      <c r="A14" s="63" t="s">
        <v>650</v>
      </c>
      <c r="B14" s="113">
        <v>33600.0</v>
      </c>
      <c r="C14" s="113">
        <v>44800.0</v>
      </c>
      <c r="D14" s="253">
        <v>56000.0</v>
      </c>
      <c r="E14" s="253">
        <v>67200.0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ht="15.75" customHeight="1">
      <c r="A15" s="63" t="s">
        <v>651</v>
      </c>
      <c r="B15" s="113">
        <v>36000.0</v>
      </c>
      <c r="C15" s="113">
        <v>48000.0</v>
      </c>
      <c r="D15" s="253">
        <v>60000.0</v>
      </c>
      <c r="E15" s="253">
        <v>72000.0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ht="15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ht="15.7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ht="24.0" customHeight="1">
      <c r="A18" s="199" t="s">
        <v>652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ht="15.75" customHeight="1">
      <c r="A19" s="200" t="s">
        <v>558</v>
      </c>
      <c r="B19" s="13" t="s">
        <v>638</v>
      </c>
      <c r="C19" s="13" t="s">
        <v>639</v>
      </c>
      <c r="D19" s="6" t="s">
        <v>653</v>
      </c>
      <c r="E19" s="62"/>
      <c r="F19" s="62"/>
      <c r="G19" s="149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ht="15.75" customHeight="1">
      <c r="A20" s="63" t="s">
        <v>638</v>
      </c>
      <c r="B20" s="255">
        <v>12000.0</v>
      </c>
      <c r="C20" s="255">
        <v>12000.0</v>
      </c>
      <c r="D20" s="255">
        <v>20000.0</v>
      </c>
      <c r="E20" s="62"/>
      <c r="F20" s="62"/>
      <c r="G20" s="149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ht="15.75" customHeight="1">
      <c r="A21" s="63" t="s">
        <v>639</v>
      </c>
      <c r="B21" s="255">
        <v>12000.0</v>
      </c>
      <c r="C21" s="255">
        <v>20000.0</v>
      </c>
      <c r="D21" s="255">
        <v>20000.0</v>
      </c>
      <c r="E21" s="62"/>
      <c r="F21" s="62"/>
      <c r="G21" s="149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ht="15.75" customHeight="1">
      <c r="A22" s="63" t="s">
        <v>640</v>
      </c>
      <c r="B22" s="128">
        <v>20000.0</v>
      </c>
      <c r="C22" s="255">
        <v>20000.0</v>
      </c>
      <c r="D22" s="256">
        <v>20000.0</v>
      </c>
      <c r="E22" s="62"/>
      <c r="F22" s="254" t="s">
        <v>642</v>
      </c>
      <c r="G22" s="149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ht="15.75" customHeight="1">
      <c r="A23" s="63" t="s">
        <v>641</v>
      </c>
      <c r="B23" s="128">
        <v>20000.0</v>
      </c>
      <c r="C23" s="255">
        <v>20000.0</v>
      </c>
      <c r="D23" s="255">
        <v>21600.0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ht="15.75" customHeight="1">
      <c r="A24" s="63" t="s">
        <v>643</v>
      </c>
      <c r="B24" s="128">
        <v>20000.0</v>
      </c>
      <c r="C24" s="255">
        <v>22400.0</v>
      </c>
      <c r="D24" s="255">
        <v>25200.0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ht="15.75" customHeight="1">
      <c r="A25" s="63" t="s">
        <v>644</v>
      </c>
      <c r="B25" s="128">
        <v>20000.0</v>
      </c>
      <c r="C25" s="255">
        <v>25600.0</v>
      </c>
      <c r="D25" s="255">
        <v>28800.0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ht="15.75" customHeight="1">
      <c r="A26" s="63" t="s">
        <v>645</v>
      </c>
      <c r="B26" s="255">
        <v>21600.0</v>
      </c>
      <c r="C26" s="255">
        <v>28800.0</v>
      </c>
      <c r="D26" s="255">
        <v>32400.0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ht="15.75" customHeight="1">
      <c r="A27" s="63" t="s">
        <v>646</v>
      </c>
      <c r="B27" s="255">
        <v>24000.0</v>
      </c>
      <c r="C27" s="255">
        <v>32000.0</v>
      </c>
      <c r="D27" s="255">
        <v>36000.0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ht="15.75" customHeight="1">
      <c r="A28" s="63" t="s">
        <v>647</v>
      </c>
      <c r="B28" s="255">
        <v>26400.0</v>
      </c>
      <c r="C28" s="255">
        <v>35200.0</v>
      </c>
      <c r="D28" s="255">
        <v>39600.0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ht="15.75" customHeight="1">
      <c r="A29" s="63" t="s">
        <v>648</v>
      </c>
      <c r="B29" s="255">
        <v>28800.0</v>
      </c>
      <c r="C29" s="255">
        <v>38400.0</v>
      </c>
      <c r="D29" s="255">
        <v>43200.0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ht="15.75" customHeight="1">
      <c r="A30" s="63" t="s">
        <v>649</v>
      </c>
      <c r="B30" s="255">
        <v>31200.0</v>
      </c>
      <c r="C30" s="255">
        <v>41600.0</v>
      </c>
      <c r="D30" s="255">
        <v>46800.0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ht="15.75" customHeight="1">
      <c r="A31" s="63" t="s">
        <v>650</v>
      </c>
      <c r="B31" s="255">
        <v>33600.0</v>
      </c>
      <c r="C31" s="255">
        <v>44800.0</v>
      </c>
      <c r="D31" s="255">
        <v>50400.0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ht="15.75" customHeight="1">
      <c r="A32" s="63" t="s">
        <v>651</v>
      </c>
      <c r="B32" s="255">
        <v>36000.0</v>
      </c>
      <c r="C32" s="255">
        <v>48000.0</v>
      </c>
      <c r="D32" s="255">
        <v>54000.0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242"/>
    </row>
    <row r="35" ht="25.5" customHeight="1">
      <c r="A35" s="199" t="s">
        <v>654</v>
      </c>
      <c r="F35" s="250" t="s">
        <v>637</v>
      </c>
      <c r="G35" s="5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242"/>
    </row>
    <row r="36" ht="15.75" customHeight="1">
      <c r="A36" s="200" t="s">
        <v>558</v>
      </c>
      <c r="B36" s="63" t="s">
        <v>638</v>
      </c>
      <c r="C36" s="63" t="s">
        <v>639</v>
      </c>
      <c r="D36" s="63" t="s">
        <v>640</v>
      </c>
      <c r="E36" s="63" t="s">
        <v>641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242"/>
    </row>
    <row r="37" ht="15.75" customHeight="1">
      <c r="A37" s="63" t="s">
        <v>638</v>
      </c>
      <c r="B37" s="257">
        <v>12000.0</v>
      </c>
      <c r="C37" s="257">
        <v>12000.0</v>
      </c>
      <c r="D37" s="257">
        <v>20000.0</v>
      </c>
      <c r="E37" s="257">
        <v>20000.0</v>
      </c>
      <c r="F37" s="11"/>
      <c r="G37" s="14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242"/>
    </row>
    <row r="38" ht="15.75" customHeight="1">
      <c r="A38" s="63" t="s">
        <v>639</v>
      </c>
      <c r="B38" s="257">
        <v>12000.0</v>
      </c>
      <c r="C38" s="257">
        <v>20000.0</v>
      </c>
      <c r="D38" s="257">
        <v>20000.0</v>
      </c>
      <c r="E38" s="257">
        <v>20000.0</v>
      </c>
      <c r="F38" s="11"/>
      <c r="G38" s="14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242"/>
    </row>
    <row r="39" ht="15.75" customHeight="1">
      <c r="A39" s="63" t="s">
        <v>640</v>
      </c>
      <c r="B39" s="257">
        <v>20000.0</v>
      </c>
      <c r="C39" s="257">
        <v>20000.0</v>
      </c>
      <c r="D39" s="256">
        <v>20000.0</v>
      </c>
      <c r="E39" s="257">
        <v>24000.0</v>
      </c>
      <c r="F39" s="254" t="s">
        <v>642</v>
      </c>
      <c r="G39" s="14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242"/>
    </row>
    <row r="40" ht="15.75" customHeight="1">
      <c r="A40" s="63" t="s">
        <v>641</v>
      </c>
      <c r="B40" s="257">
        <v>20000.0</v>
      </c>
      <c r="C40" s="257">
        <v>20000.0</v>
      </c>
      <c r="D40" s="257">
        <v>24000.0</v>
      </c>
      <c r="E40" s="257">
        <v>28800.0</v>
      </c>
      <c r="F40" s="11"/>
      <c r="G40" s="147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242"/>
    </row>
    <row r="41" ht="15.75" customHeight="1">
      <c r="A41" s="63" t="s">
        <v>643</v>
      </c>
      <c r="B41" s="257">
        <v>20000.0</v>
      </c>
      <c r="C41" s="257">
        <v>22400.0</v>
      </c>
      <c r="D41" s="257">
        <v>28000.0</v>
      </c>
      <c r="E41" s="257">
        <v>33600.0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242"/>
    </row>
    <row r="42" ht="15.75" customHeight="1">
      <c r="A42" s="63" t="s">
        <v>644</v>
      </c>
      <c r="B42" s="257">
        <v>20000.0</v>
      </c>
      <c r="C42" s="257">
        <v>25600.0</v>
      </c>
      <c r="D42" s="257">
        <v>32000.0</v>
      </c>
      <c r="E42" s="257">
        <v>38400.0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42"/>
    </row>
    <row r="43" ht="15.75" customHeight="1">
      <c r="A43" s="63" t="s">
        <v>645</v>
      </c>
      <c r="B43" s="257">
        <v>21600.0</v>
      </c>
      <c r="C43" s="257">
        <v>28800.0</v>
      </c>
      <c r="D43" s="257">
        <v>36000.0</v>
      </c>
      <c r="E43" s="257">
        <v>43200.0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242"/>
    </row>
    <row r="44" ht="15.75" customHeight="1">
      <c r="A44" s="63" t="s">
        <v>646</v>
      </c>
      <c r="B44" s="257">
        <v>24000.0</v>
      </c>
      <c r="C44" s="257">
        <v>32000.0</v>
      </c>
      <c r="D44" s="257">
        <v>40000.0</v>
      </c>
      <c r="E44" s="257">
        <v>48000.0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242"/>
    </row>
    <row r="45" ht="15.75" customHeight="1">
      <c r="A45" s="63" t="s">
        <v>647</v>
      </c>
      <c r="B45" s="257">
        <v>26400.0</v>
      </c>
      <c r="C45" s="257">
        <v>35200.0</v>
      </c>
      <c r="D45" s="257">
        <v>44000.0</v>
      </c>
      <c r="E45" s="257">
        <v>52800.0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242"/>
    </row>
    <row r="46" ht="15.75" customHeight="1">
      <c r="A46" s="63" t="s">
        <v>648</v>
      </c>
      <c r="B46" s="257">
        <v>28800.0</v>
      </c>
      <c r="C46" s="257">
        <v>38400.0</v>
      </c>
      <c r="D46" s="257">
        <v>48000.0</v>
      </c>
      <c r="E46" s="257">
        <v>57600.0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242"/>
    </row>
    <row r="47" ht="15.75" customHeight="1">
      <c r="A47" s="63" t="s">
        <v>649</v>
      </c>
      <c r="B47" s="257">
        <v>31200.0</v>
      </c>
      <c r="C47" s="257">
        <v>41600.0</v>
      </c>
      <c r="D47" s="257">
        <v>52000.0</v>
      </c>
      <c r="E47" s="257">
        <v>62400.0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242"/>
    </row>
    <row r="48" ht="15.75" customHeight="1">
      <c r="A48" s="63" t="s">
        <v>650</v>
      </c>
      <c r="B48" s="257">
        <v>33600.0</v>
      </c>
      <c r="C48" s="257">
        <v>44800.0</v>
      </c>
      <c r="D48" s="257">
        <v>56000.0</v>
      </c>
      <c r="E48" s="257">
        <v>67200.0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242"/>
    </row>
    <row r="49" ht="15.75" customHeight="1">
      <c r="A49" s="63" t="s">
        <v>651</v>
      </c>
      <c r="B49" s="257">
        <v>36000.0</v>
      </c>
      <c r="C49" s="257">
        <v>48000.0</v>
      </c>
      <c r="D49" s="257">
        <v>60000.0</v>
      </c>
      <c r="E49" s="257">
        <v>72000.0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242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242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242"/>
    </row>
    <row r="52" ht="23.25" customHeight="1">
      <c r="A52" s="199" t="s">
        <v>655</v>
      </c>
      <c r="F52" s="250" t="s">
        <v>637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242"/>
    </row>
    <row r="53" ht="15.75" customHeight="1">
      <c r="A53" s="200" t="s">
        <v>558</v>
      </c>
      <c r="B53" s="63" t="s">
        <v>638</v>
      </c>
      <c r="C53" s="63" t="s">
        <v>639</v>
      </c>
      <c r="D53" s="63" t="s">
        <v>640</v>
      </c>
      <c r="E53" s="63" t="s">
        <v>641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242"/>
    </row>
    <row r="54" ht="15.75" customHeight="1">
      <c r="A54" s="63" t="s">
        <v>638</v>
      </c>
      <c r="B54" s="257">
        <v>12000.0</v>
      </c>
      <c r="C54" s="257">
        <v>12000.0</v>
      </c>
      <c r="D54" s="257">
        <v>20000.0</v>
      </c>
      <c r="E54" s="257">
        <v>20000.0</v>
      </c>
      <c r="F54" s="11"/>
      <c r="G54" s="147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242"/>
    </row>
    <row r="55" ht="15.75" customHeight="1">
      <c r="A55" s="63" t="s">
        <v>639</v>
      </c>
      <c r="B55" s="257">
        <v>12000.0</v>
      </c>
      <c r="C55" s="257">
        <v>20000.0</v>
      </c>
      <c r="D55" s="257">
        <v>20000.0</v>
      </c>
      <c r="E55" s="257">
        <v>20000.0</v>
      </c>
      <c r="F55" s="11"/>
      <c r="G55" s="14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242"/>
    </row>
    <row r="56" ht="15.75" customHeight="1">
      <c r="A56" s="63" t="s">
        <v>640</v>
      </c>
      <c r="B56" s="257">
        <v>20000.0</v>
      </c>
      <c r="C56" s="257">
        <v>20000.0</v>
      </c>
      <c r="D56" s="256">
        <v>20000.0</v>
      </c>
      <c r="E56" s="257">
        <v>24000.0</v>
      </c>
      <c r="F56" s="254" t="s">
        <v>642</v>
      </c>
      <c r="G56" s="147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242"/>
    </row>
    <row r="57" ht="15.75" customHeight="1">
      <c r="A57" s="63" t="s">
        <v>641</v>
      </c>
      <c r="B57" s="257">
        <v>20000.0</v>
      </c>
      <c r="C57" s="257">
        <v>20000.0</v>
      </c>
      <c r="D57" s="257">
        <v>24000.0</v>
      </c>
      <c r="E57" s="257">
        <v>28800.0</v>
      </c>
      <c r="F57" s="11"/>
      <c r="G57" s="147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242"/>
    </row>
    <row r="58" ht="15.75" customHeight="1">
      <c r="A58" s="63" t="s">
        <v>643</v>
      </c>
      <c r="B58" s="257">
        <v>20000.0</v>
      </c>
      <c r="C58" s="257">
        <v>22400.0</v>
      </c>
      <c r="D58" s="257">
        <v>28000.0</v>
      </c>
      <c r="E58" s="257">
        <v>33600.0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242"/>
    </row>
    <row r="59" ht="15.75" customHeight="1">
      <c r="A59" s="63" t="s">
        <v>644</v>
      </c>
      <c r="B59" s="257">
        <v>20000.0</v>
      </c>
      <c r="C59" s="257">
        <v>25600.0</v>
      </c>
      <c r="D59" s="257">
        <v>32000.0</v>
      </c>
      <c r="E59" s="257">
        <v>38400.0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242"/>
    </row>
    <row r="60" ht="15.75" customHeight="1">
      <c r="A60" s="63" t="s">
        <v>645</v>
      </c>
      <c r="B60" s="257">
        <v>21600.0</v>
      </c>
      <c r="C60" s="257">
        <v>28800.0</v>
      </c>
      <c r="D60" s="257">
        <v>36000.0</v>
      </c>
      <c r="E60" s="257">
        <v>43200.0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242"/>
    </row>
    <row r="61" ht="15.75" customHeight="1">
      <c r="A61" s="63" t="s">
        <v>646</v>
      </c>
      <c r="B61" s="257">
        <v>24000.0</v>
      </c>
      <c r="C61" s="257">
        <v>32000.0</v>
      </c>
      <c r="D61" s="257">
        <v>40000.0</v>
      </c>
      <c r="E61" s="257">
        <v>48000.0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242"/>
    </row>
    <row r="62" ht="15.75" customHeight="1">
      <c r="A62" s="63" t="s">
        <v>647</v>
      </c>
      <c r="B62" s="257">
        <v>26400.0</v>
      </c>
      <c r="C62" s="257">
        <v>35200.0</v>
      </c>
      <c r="D62" s="257">
        <v>44000.0</v>
      </c>
      <c r="E62" s="257">
        <v>52800.0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242"/>
    </row>
    <row r="63" ht="15.75" customHeight="1">
      <c r="A63" s="63" t="s">
        <v>648</v>
      </c>
      <c r="B63" s="257">
        <v>28800.0</v>
      </c>
      <c r="C63" s="257">
        <v>38400.0</v>
      </c>
      <c r="D63" s="257">
        <v>48000.0</v>
      </c>
      <c r="E63" s="257">
        <v>57600.0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242"/>
    </row>
    <row r="64" ht="15.75" customHeight="1">
      <c r="A64" s="63" t="s">
        <v>649</v>
      </c>
      <c r="B64" s="257">
        <v>31200.0</v>
      </c>
      <c r="C64" s="257">
        <v>41600.0</v>
      </c>
      <c r="D64" s="257">
        <v>52000.0</v>
      </c>
      <c r="E64" s="257">
        <v>62400.0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242"/>
    </row>
    <row r="65" ht="15.75" customHeight="1">
      <c r="A65" s="63" t="s">
        <v>650</v>
      </c>
      <c r="B65" s="257">
        <v>33600.0</v>
      </c>
      <c r="C65" s="257">
        <v>44800.0</v>
      </c>
      <c r="D65" s="257">
        <v>56000.0</v>
      </c>
      <c r="E65" s="257">
        <v>67200.0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242"/>
    </row>
    <row r="66" ht="15.75" customHeight="1">
      <c r="A66" s="63" t="s">
        <v>651</v>
      </c>
      <c r="B66" s="257">
        <v>36000.0</v>
      </c>
      <c r="C66" s="257">
        <v>48000.0</v>
      </c>
      <c r="D66" s="257">
        <v>60000.0</v>
      </c>
      <c r="E66" s="257">
        <v>72000.0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242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242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242"/>
    </row>
    <row r="69" ht="23.25" customHeight="1">
      <c r="A69" s="199" t="s">
        <v>656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242"/>
    </row>
    <row r="70" ht="15.75" customHeight="1">
      <c r="A70" s="200" t="s">
        <v>558</v>
      </c>
      <c r="B70" s="63" t="s">
        <v>638</v>
      </c>
      <c r="C70" s="63" t="s">
        <v>639</v>
      </c>
      <c r="D70" s="63" t="s">
        <v>640</v>
      </c>
      <c r="E70" s="63" t="s">
        <v>641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242"/>
    </row>
    <row r="71" ht="15.75" customHeight="1">
      <c r="A71" s="63" t="s">
        <v>638</v>
      </c>
      <c r="B71" s="257">
        <v>16000.0</v>
      </c>
      <c r="C71" s="257">
        <v>16000.0</v>
      </c>
      <c r="D71" s="257">
        <v>55000.0</v>
      </c>
      <c r="E71" s="257">
        <v>55000.0</v>
      </c>
      <c r="F71" s="11"/>
      <c r="G71" s="147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242"/>
    </row>
    <row r="72" ht="15.75" customHeight="1">
      <c r="A72" s="63" t="s">
        <v>639</v>
      </c>
      <c r="B72" s="257">
        <v>16000.0</v>
      </c>
      <c r="C72" s="257">
        <v>55000.0</v>
      </c>
      <c r="D72" s="257">
        <v>55000.0</v>
      </c>
      <c r="E72" s="257">
        <v>55000.0</v>
      </c>
      <c r="F72" s="11"/>
      <c r="G72" s="14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242"/>
    </row>
    <row r="73" ht="15.75" customHeight="1">
      <c r="A73" s="63" t="s">
        <v>640</v>
      </c>
      <c r="B73" s="257">
        <v>55000.0</v>
      </c>
      <c r="C73" s="257">
        <v>55000.0</v>
      </c>
      <c r="D73" s="256">
        <v>55000.0</v>
      </c>
      <c r="E73" s="257">
        <v>66000.0</v>
      </c>
      <c r="F73" s="254" t="s">
        <v>657</v>
      </c>
      <c r="G73" s="14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242"/>
    </row>
    <row r="74" ht="15.75" customHeight="1">
      <c r="A74" s="63" t="s">
        <v>641</v>
      </c>
      <c r="B74" s="257">
        <v>55000.0</v>
      </c>
      <c r="C74" s="257">
        <v>55000.0</v>
      </c>
      <c r="D74" s="257">
        <v>66000.0</v>
      </c>
      <c r="E74" s="257">
        <v>79200.0</v>
      </c>
      <c r="F74" s="11"/>
      <c r="G74" s="147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242"/>
    </row>
    <row r="75" ht="15.75" customHeight="1">
      <c r="A75" s="63" t="s">
        <v>643</v>
      </c>
      <c r="B75" s="257">
        <v>55000.0</v>
      </c>
      <c r="C75" s="257">
        <v>61600.0</v>
      </c>
      <c r="D75" s="257">
        <v>77000.0</v>
      </c>
      <c r="E75" s="257">
        <v>92400.0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242"/>
    </row>
    <row r="76" ht="15.75" customHeight="1">
      <c r="A76" s="63" t="s">
        <v>644</v>
      </c>
      <c r="B76" s="257">
        <v>55000.0</v>
      </c>
      <c r="C76" s="257">
        <v>70400.0</v>
      </c>
      <c r="D76" s="257">
        <v>88000.0</v>
      </c>
      <c r="E76" s="257">
        <v>105600.0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242"/>
    </row>
    <row r="77" ht="15.75" customHeight="1">
      <c r="A77" s="63" t="s">
        <v>645</v>
      </c>
      <c r="B77" s="257">
        <v>59400.0</v>
      </c>
      <c r="C77" s="257">
        <v>79200.0</v>
      </c>
      <c r="D77" s="257">
        <v>99000.0</v>
      </c>
      <c r="E77" s="257">
        <v>118800.0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242"/>
    </row>
    <row r="78" ht="15.75" customHeight="1">
      <c r="A78" s="63" t="s">
        <v>646</v>
      </c>
      <c r="B78" s="257">
        <v>66000.0</v>
      </c>
      <c r="C78" s="257">
        <v>88000.0</v>
      </c>
      <c r="D78" s="257">
        <v>110000.0</v>
      </c>
      <c r="E78" s="257">
        <v>132000.0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242"/>
    </row>
    <row r="79" ht="15.75" customHeight="1">
      <c r="A79" s="63" t="s">
        <v>647</v>
      </c>
      <c r="B79" s="257">
        <v>72600.0</v>
      </c>
      <c r="C79" s="257">
        <v>96800.0</v>
      </c>
      <c r="D79" s="257">
        <v>121000.0</v>
      </c>
      <c r="E79" s="257">
        <v>145200.0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242"/>
    </row>
    <row r="80" ht="15.75" customHeight="1">
      <c r="A80" s="63" t="s">
        <v>648</v>
      </c>
      <c r="B80" s="257">
        <v>79200.0</v>
      </c>
      <c r="C80" s="257">
        <v>105600.0</v>
      </c>
      <c r="D80" s="257">
        <v>132000.0</v>
      </c>
      <c r="E80" s="257">
        <v>158400.0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242"/>
    </row>
    <row r="81" ht="15.75" customHeight="1">
      <c r="A81" s="63" t="s">
        <v>649</v>
      </c>
      <c r="B81" s="257">
        <v>85800.0</v>
      </c>
      <c r="C81" s="257">
        <v>114400.0</v>
      </c>
      <c r="D81" s="257">
        <v>143000.0</v>
      </c>
      <c r="E81" s="257">
        <v>171600.0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242"/>
    </row>
    <row r="82" ht="15.75" customHeight="1">
      <c r="A82" s="63" t="s">
        <v>650</v>
      </c>
      <c r="B82" s="257">
        <v>92400.0</v>
      </c>
      <c r="C82" s="257">
        <v>123200.0</v>
      </c>
      <c r="D82" s="257">
        <v>154000.0</v>
      </c>
      <c r="E82" s="257">
        <v>184800.0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242"/>
    </row>
    <row r="83" ht="15.75" customHeight="1">
      <c r="A83" s="63" t="s">
        <v>651</v>
      </c>
      <c r="B83" s="257">
        <v>99000.0</v>
      </c>
      <c r="C83" s="257">
        <v>132000.0</v>
      </c>
      <c r="D83" s="257">
        <v>165000.0</v>
      </c>
      <c r="E83" s="257">
        <v>198000.0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242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242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242"/>
    </row>
    <row r="86" ht="27.0" customHeight="1">
      <c r="A86" s="199" t="s">
        <v>658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242"/>
    </row>
    <row r="87" ht="15.75" customHeight="1">
      <c r="A87" s="200" t="s">
        <v>558</v>
      </c>
      <c r="B87" s="63" t="s">
        <v>638</v>
      </c>
      <c r="C87" s="63" t="s">
        <v>639</v>
      </c>
      <c r="D87" s="63" t="s">
        <v>640</v>
      </c>
      <c r="E87" s="63" t="s">
        <v>641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242"/>
    </row>
    <row r="88" ht="15.75" customHeight="1">
      <c r="A88" s="63" t="s">
        <v>638</v>
      </c>
      <c r="B88" s="113">
        <v>12000.0</v>
      </c>
      <c r="C88" s="113">
        <v>12000.0</v>
      </c>
      <c r="D88" s="113">
        <v>20000.0</v>
      </c>
      <c r="E88" s="113">
        <v>20000.0</v>
      </c>
      <c r="F88" s="62"/>
      <c r="G88" s="147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242"/>
    </row>
    <row r="89" ht="15.75" customHeight="1">
      <c r="A89" s="63" t="s">
        <v>639</v>
      </c>
      <c r="B89" s="113">
        <v>12000.0</v>
      </c>
      <c r="C89" s="113">
        <v>20000.0</v>
      </c>
      <c r="D89" s="113">
        <v>20000.0</v>
      </c>
      <c r="E89" s="113">
        <v>20000.0</v>
      </c>
      <c r="F89" s="62"/>
      <c r="G89" s="147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242"/>
    </row>
    <row r="90" ht="15.75" customHeight="1">
      <c r="A90" s="63" t="s">
        <v>640</v>
      </c>
      <c r="B90" s="113">
        <v>20000.0</v>
      </c>
      <c r="C90" s="113">
        <v>20000.0</v>
      </c>
      <c r="D90" s="252">
        <v>20000.0</v>
      </c>
      <c r="E90" s="253">
        <v>24000.0</v>
      </c>
      <c r="F90" s="254" t="s">
        <v>642</v>
      </c>
      <c r="G90" s="147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242"/>
    </row>
    <row r="91" ht="15.75" customHeight="1">
      <c r="A91" s="63" t="s">
        <v>641</v>
      </c>
      <c r="B91" s="113">
        <v>20000.0</v>
      </c>
      <c r="C91" s="113">
        <v>20000.0</v>
      </c>
      <c r="D91" s="253">
        <v>24000.0</v>
      </c>
      <c r="E91" s="253">
        <v>28800.0</v>
      </c>
      <c r="F91" s="62"/>
      <c r="G91" s="147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242"/>
    </row>
    <row r="92" ht="15.75" customHeight="1">
      <c r="A92" s="63" t="s">
        <v>643</v>
      </c>
      <c r="B92" s="113">
        <v>20000.0</v>
      </c>
      <c r="C92" s="113">
        <v>22400.0</v>
      </c>
      <c r="D92" s="253">
        <v>28000.0</v>
      </c>
      <c r="E92" s="253">
        <v>33600.0</v>
      </c>
      <c r="F92" s="6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242"/>
    </row>
    <row r="93" ht="15.75" customHeight="1">
      <c r="A93" s="63" t="s">
        <v>644</v>
      </c>
      <c r="B93" s="113">
        <v>20000.0</v>
      </c>
      <c r="C93" s="113">
        <v>25600.0</v>
      </c>
      <c r="D93" s="253">
        <v>32000.0</v>
      </c>
      <c r="E93" s="253">
        <v>38400.0</v>
      </c>
      <c r="F93" s="6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242"/>
    </row>
    <row r="94" ht="15.75" customHeight="1">
      <c r="A94" s="63" t="s">
        <v>645</v>
      </c>
      <c r="B94" s="113">
        <v>21600.0</v>
      </c>
      <c r="C94" s="113">
        <v>28800.0</v>
      </c>
      <c r="D94" s="253">
        <v>36000.0</v>
      </c>
      <c r="E94" s="253">
        <v>43200.0</v>
      </c>
      <c r="F94" s="6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242"/>
    </row>
    <row r="95" ht="15.75" customHeight="1">
      <c r="A95" s="63" t="s">
        <v>646</v>
      </c>
      <c r="B95" s="113">
        <v>24000.0</v>
      </c>
      <c r="C95" s="113">
        <v>32000.0</v>
      </c>
      <c r="D95" s="253">
        <v>40000.0</v>
      </c>
      <c r="E95" s="253">
        <v>48000.0</v>
      </c>
      <c r="F95" s="6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242"/>
    </row>
    <row r="96" ht="15.75" customHeight="1">
      <c r="A96" s="63" t="s">
        <v>647</v>
      </c>
      <c r="B96" s="113">
        <v>26400.0</v>
      </c>
      <c r="C96" s="113">
        <v>35200.0</v>
      </c>
      <c r="D96" s="253">
        <v>44000.0</v>
      </c>
      <c r="E96" s="253">
        <v>52800.0</v>
      </c>
      <c r="F96" s="6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242"/>
    </row>
    <row r="97" ht="15.75" customHeight="1">
      <c r="A97" s="63" t="s">
        <v>648</v>
      </c>
      <c r="B97" s="113">
        <v>28800.0</v>
      </c>
      <c r="C97" s="113">
        <v>38400.0</v>
      </c>
      <c r="D97" s="253">
        <v>48000.0</v>
      </c>
      <c r="E97" s="253">
        <v>57600.0</v>
      </c>
      <c r="F97" s="6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242"/>
    </row>
    <row r="98" ht="15.75" customHeight="1">
      <c r="A98" s="63" t="s">
        <v>649</v>
      </c>
      <c r="B98" s="113">
        <v>31200.0</v>
      </c>
      <c r="C98" s="113">
        <v>41600.0</v>
      </c>
      <c r="D98" s="253">
        <v>52000.0</v>
      </c>
      <c r="E98" s="253">
        <v>62400.0</v>
      </c>
      <c r="F98" s="6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242"/>
    </row>
    <row r="99" ht="15.75" customHeight="1">
      <c r="A99" s="63" t="s">
        <v>650</v>
      </c>
      <c r="B99" s="113">
        <v>33600.0</v>
      </c>
      <c r="C99" s="113">
        <v>44800.0</v>
      </c>
      <c r="D99" s="253">
        <v>56000.0</v>
      </c>
      <c r="E99" s="253">
        <v>67200.0</v>
      </c>
      <c r="F99" s="6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242"/>
    </row>
    <row r="100" ht="15.75" customHeight="1">
      <c r="A100" s="63" t="s">
        <v>651</v>
      </c>
      <c r="B100" s="113">
        <v>36000.0</v>
      </c>
      <c r="C100" s="113">
        <v>48000.0</v>
      </c>
      <c r="D100" s="253">
        <v>60000.0</v>
      </c>
      <c r="E100" s="253">
        <v>72000.0</v>
      </c>
      <c r="F100" s="6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242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242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242"/>
    </row>
    <row r="103" ht="27.0" customHeight="1">
      <c r="A103" s="199" t="s">
        <v>659</v>
      </c>
      <c r="F103" s="11"/>
      <c r="G103" s="11"/>
      <c r="H103" s="11"/>
      <c r="I103" s="258"/>
      <c r="J103" s="259" t="s">
        <v>660</v>
      </c>
      <c r="L103" s="250" t="s">
        <v>661</v>
      </c>
      <c r="M103" s="260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242"/>
    </row>
    <row r="104" ht="15.75" customHeight="1">
      <c r="A104" s="200" t="s">
        <v>558</v>
      </c>
      <c r="B104" s="63" t="s">
        <v>638</v>
      </c>
      <c r="C104" s="63" t="s">
        <v>639</v>
      </c>
      <c r="D104" s="63" t="s">
        <v>640</v>
      </c>
      <c r="E104" s="63" t="s">
        <v>641</v>
      </c>
      <c r="F104" s="11"/>
      <c r="G104" s="11"/>
      <c r="H104" s="11"/>
      <c r="I104" s="11"/>
      <c r="J104" s="145" t="s">
        <v>662</v>
      </c>
      <c r="K104" s="8" t="s">
        <v>663</v>
      </c>
      <c r="L104" s="8"/>
      <c r="M104" s="8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242"/>
    </row>
    <row r="105" ht="15.75" customHeight="1">
      <c r="A105" s="63" t="s">
        <v>638</v>
      </c>
      <c r="B105" s="257">
        <v>17000.0</v>
      </c>
      <c r="C105" s="257">
        <v>17000.0</v>
      </c>
      <c r="D105" s="257">
        <v>30000.0</v>
      </c>
      <c r="E105" s="257">
        <v>30000.0</v>
      </c>
      <c r="F105" s="11"/>
      <c r="G105" s="147"/>
      <c r="H105" s="11"/>
      <c r="I105" s="11"/>
      <c r="J105" s="6" t="s">
        <v>664</v>
      </c>
      <c r="K105" s="5">
        <v>0.0</v>
      </c>
      <c r="L105" s="5"/>
      <c r="M105" s="5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242"/>
    </row>
    <row r="106" ht="15.75" customHeight="1">
      <c r="A106" s="63" t="s">
        <v>639</v>
      </c>
      <c r="B106" s="257">
        <v>17000.0</v>
      </c>
      <c r="C106" s="257">
        <v>30000.0</v>
      </c>
      <c r="D106" s="257">
        <v>30000.0</v>
      </c>
      <c r="E106" s="257">
        <v>30000.0</v>
      </c>
      <c r="F106" s="11"/>
      <c r="G106" s="147"/>
      <c r="H106" s="11"/>
      <c r="I106" s="11"/>
      <c r="J106" s="8" t="s">
        <v>665</v>
      </c>
      <c r="K106" s="261">
        <v>800.0</v>
      </c>
      <c r="L106" s="148"/>
      <c r="M106" s="148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242"/>
    </row>
    <row r="107" ht="15.75" customHeight="1">
      <c r="A107" s="63" t="s">
        <v>640</v>
      </c>
      <c r="B107" s="257">
        <v>30000.0</v>
      </c>
      <c r="C107" s="257">
        <v>30000.0</v>
      </c>
      <c r="D107" s="256">
        <v>30000.0</v>
      </c>
      <c r="E107" s="257">
        <v>36000.0</v>
      </c>
      <c r="F107" s="254" t="s">
        <v>666</v>
      </c>
      <c r="G107" s="147"/>
      <c r="H107" s="11"/>
      <c r="I107" s="11"/>
      <c r="J107" s="6" t="s">
        <v>667</v>
      </c>
      <c r="K107" s="5">
        <v>1000.0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242"/>
    </row>
    <row r="108" ht="15.75" customHeight="1">
      <c r="A108" s="63" t="s">
        <v>641</v>
      </c>
      <c r="B108" s="257">
        <v>30000.0</v>
      </c>
      <c r="C108" s="257">
        <v>30000.0</v>
      </c>
      <c r="D108" s="257">
        <v>36000.0</v>
      </c>
      <c r="E108" s="257">
        <v>43200.0</v>
      </c>
      <c r="F108" s="11"/>
      <c r="G108" s="147"/>
      <c r="H108" s="11"/>
      <c r="I108" s="11"/>
      <c r="J108" s="6" t="s">
        <v>668</v>
      </c>
      <c r="K108" s="5">
        <v>2000.0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242"/>
    </row>
    <row r="109" ht="15.75" customHeight="1">
      <c r="A109" s="63" t="s">
        <v>643</v>
      </c>
      <c r="B109" s="257">
        <v>30000.0</v>
      </c>
      <c r="C109" s="257">
        <v>33600.0</v>
      </c>
      <c r="D109" s="257">
        <v>42000.0</v>
      </c>
      <c r="E109" s="257">
        <v>50400.0</v>
      </c>
      <c r="F109" s="11"/>
      <c r="G109" s="11"/>
      <c r="H109" s="11"/>
      <c r="I109" s="11"/>
      <c r="J109" s="6" t="s">
        <v>669</v>
      </c>
      <c r="K109" s="5">
        <v>2000.0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242"/>
    </row>
    <row r="110" ht="15.75" customHeight="1">
      <c r="A110" s="63" t="s">
        <v>644</v>
      </c>
      <c r="B110" s="257">
        <v>30000.0</v>
      </c>
      <c r="C110" s="257">
        <v>38400.0</v>
      </c>
      <c r="D110" s="257">
        <v>48000.0</v>
      </c>
      <c r="E110" s="257">
        <v>57600.0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242"/>
    </row>
    <row r="111" ht="15.75" customHeight="1">
      <c r="A111" s="63" t="s">
        <v>645</v>
      </c>
      <c r="B111" s="257">
        <v>32400.0</v>
      </c>
      <c r="C111" s="257">
        <v>43200.0</v>
      </c>
      <c r="D111" s="257">
        <v>54000.0</v>
      </c>
      <c r="E111" s="257">
        <v>64800.0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242"/>
    </row>
    <row r="112" ht="15.75" customHeight="1">
      <c r="A112" s="63" t="s">
        <v>646</v>
      </c>
      <c r="B112" s="257">
        <v>36000.0</v>
      </c>
      <c r="C112" s="257">
        <v>48000.0</v>
      </c>
      <c r="D112" s="257">
        <v>60000.0</v>
      </c>
      <c r="E112" s="257">
        <v>72000.0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242"/>
    </row>
    <row r="113" ht="15.75" customHeight="1">
      <c r="A113" s="63" t="s">
        <v>647</v>
      </c>
      <c r="B113" s="257">
        <v>39600.0</v>
      </c>
      <c r="C113" s="257">
        <v>52800.0</v>
      </c>
      <c r="D113" s="257">
        <v>66000.0</v>
      </c>
      <c r="E113" s="257">
        <v>79200.0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242"/>
    </row>
    <row r="114" ht="15.75" customHeight="1">
      <c r="A114" s="63" t="s">
        <v>648</v>
      </c>
      <c r="B114" s="257">
        <v>43200.0</v>
      </c>
      <c r="C114" s="257">
        <v>57600.0</v>
      </c>
      <c r="D114" s="257">
        <v>72000.0</v>
      </c>
      <c r="E114" s="257">
        <v>86400.0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242"/>
    </row>
    <row r="115" ht="15.75" customHeight="1">
      <c r="A115" s="63" t="s">
        <v>649</v>
      </c>
      <c r="B115" s="257">
        <v>46800.0</v>
      </c>
      <c r="C115" s="257">
        <v>62400.0</v>
      </c>
      <c r="D115" s="257">
        <v>78000.0</v>
      </c>
      <c r="E115" s="257">
        <v>93600.0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242"/>
    </row>
    <row r="116" ht="15.75" customHeight="1">
      <c r="A116" s="63" t="s">
        <v>650</v>
      </c>
      <c r="B116" s="257">
        <v>50400.0</v>
      </c>
      <c r="C116" s="257">
        <v>67200.0</v>
      </c>
      <c r="D116" s="257">
        <v>84000.0</v>
      </c>
      <c r="E116" s="257">
        <v>100800.0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242"/>
    </row>
    <row r="117" ht="15.75" customHeight="1">
      <c r="A117" s="63" t="s">
        <v>651</v>
      </c>
      <c r="B117" s="257">
        <v>54000.0</v>
      </c>
      <c r="C117" s="257">
        <v>72000.0</v>
      </c>
      <c r="D117" s="257">
        <v>90000.0</v>
      </c>
      <c r="E117" s="257">
        <v>108000.0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242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242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242"/>
    </row>
    <row r="120" ht="25.5" customHeight="1">
      <c r="A120" s="199" t="s">
        <v>670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242"/>
    </row>
    <row r="121" ht="15.75" customHeight="1">
      <c r="A121" s="200" t="s">
        <v>558</v>
      </c>
      <c r="B121" s="63" t="s">
        <v>638</v>
      </c>
      <c r="C121" s="63" t="s">
        <v>639</v>
      </c>
      <c r="D121" s="63" t="s">
        <v>640</v>
      </c>
      <c r="E121" s="63" t="s">
        <v>641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242"/>
    </row>
    <row r="122" ht="15.75" customHeight="1">
      <c r="A122" s="63" t="s">
        <v>638</v>
      </c>
      <c r="B122" s="257">
        <v>19000.0</v>
      </c>
      <c r="C122" s="257">
        <v>19000.0</v>
      </c>
      <c r="D122" s="257">
        <v>35000.0</v>
      </c>
      <c r="E122" s="257">
        <v>35000.0</v>
      </c>
      <c r="F122" s="11"/>
      <c r="G122" s="14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242"/>
    </row>
    <row r="123" ht="15.75" customHeight="1">
      <c r="A123" s="63" t="s">
        <v>639</v>
      </c>
      <c r="B123" s="257">
        <v>19000.0</v>
      </c>
      <c r="C123" s="257">
        <v>35000.0</v>
      </c>
      <c r="D123" s="257">
        <v>35000.0</v>
      </c>
      <c r="E123" s="257">
        <v>35000.0</v>
      </c>
      <c r="F123" s="11"/>
      <c r="G123" s="14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242"/>
    </row>
    <row r="124" ht="15.75" customHeight="1">
      <c r="A124" s="63" t="s">
        <v>640</v>
      </c>
      <c r="B124" s="257">
        <v>35000.0</v>
      </c>
      <c r="C124" s="257">
        <v>35000.0</v>
      </c>
      <c r="D124" s="256">
        <v>35000.0</v>
      </c>
      <c r="E124" s="257">
        <v>42000.0</v>
      </c>
      <c r="F124" s="254" t="s">
        <v>671</v>
      </c>
      <c r="G124" s="14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242"/>
    </row>
    <row r="125" ht="15.75" customHeight="1">
      <c r="A125" s="63" t="s">
        <v>641</v>
      </c>
      <c r="B125" s="257">
        <v>35000.0</v>
      </c>
      <c r="C125" s="257">
        <v>35000.0</v>
      </c>
      <c r="D125" s="257">
        <v>42000.0</v>
      </c>
      <c r="E125" s="257">
        <v>50400.0</v>
      </c>
      <c r="F125" s="11"/>
      <c r="G125" s="14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242"/>
    </row>
    <row r="126" ht="15.75" customHeight="1">
      <c r="A126" s="63" t="s">
        <v>643</v>
      </c>
      <c r="B126" s="257">
        <v>35000.0</v>
      </c>
      <c r="C126" s="257">
        <v>39200.0</v>
      </c>
      <c r="D126" s="257">
        <v>49000.0</v>
      </c>
      <c r="E126" s="257">
        <v>58800.0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242"/>
    </row>
    <row r="127" ht="15.75" customHeight="1">
      <c r="A127" s="63" t="s">
        <v>644</v>
      </c>
      <c r="B127" s="257">
        <v>35000.0</v>
      </c>
      <c r="C127" s="257">
        <v>44800.0</v>
      </c>
      <c r="D127" s="257">
        <v>56000.0</v>
      </c>
      <c r="E127" s="257">
        <v>67200.0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242"/>
    </row>
    <row r="128" ht="15.75" customHeight="1">
      <c r="A128" s="63" t="s">
        <v>645</v>
      </c>
      <c r="B128" s="257">
        <v>37800.0</v>
      </c>
      <c r="C128" s="257">
        <v>50400.0</v>
      </c>
      <c r="D128" s="257">
        <v>63000.0</v>
      </c>
      <c r="E128" s="257">
        <v>75600.0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242"/>
    </row>
    <row r="129" ht="15.75" customHeight="1">
      <c r="A129" s="63" t="s">
        <v>646</v>
      </c>
      <c r="B129" s="257">
        <v>42000.0</v>
      </c>
      <c r="C129" s="257">
        <v>56000.0</v>
      </c>
      <c r="D129" s="257">
        <v>70000.0</v>
      </c>
      <c r="E129" s="257">
        <v>84000.0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242"/>
    </row>
    <row r="130" ht="15.75" customHeight="1">
      <c r="A130" s="63" t="s">
        <v>647</v>
      </c>
      <c r="B130" s="257">
        <v>46200.0</v>
      </c>
      <c r="C130" s="257">
        <v>61600.0</v>
      </c>
      <c r="D130" s="257">
        <v>77000.0</v>
      </c>
      <c r="E130" s="257">
        <v>92400.0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242"/>
    </row>
    <row r="131" ht="15.75" customHeight="1">
      <c r="A131" s="63" t="s">
        <v>648</v>
      </c>
      <c r="B131" s="257">
        <v>50400.0</v>
      </c>
      <c r="C131" s="257">
        <v>67200.0</v>
      </c>
      <c r="D131" s="257">
        <v>84000.0</v>
      </c>
      <c r="E131" s="257">
        <v>100800.0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242"/>
    </row>
    <row r="132" ht="15.75" customHeight="1">
      <c r="A132" s="63" t="s">
        <v>649</v>
      </c>
      <c r="B132" s="257">
        <v>54600.0</v>
      </c>
      <c r="C132" s="257">
        <v>72800.0</v>
      </c>
      <c r="D132" s="257">
        <v>91000.0</v>
      </c>
      <c r="E132" s="257">
        <v>109200.0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242"/>
    </row>
    <row r="133" ht="15.75" customHeight="1">
      <c r="A133" s="63" t="s">
        <v>650</v>
      </c>
      <c r="B133" s="257">
        <v>58800.0</v>
      </c>
      <c r="C133" s="257">
        <v>78400.0</v>
      </c>
      <c r="D133" s="257">
        <v>98000.0</v>
      </c>
      <c r="E133" s="257">
        <v>117600.0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242"/>
    </row>
    <row r="134" ht="15.75" customHeight="1">
      <c r="A134" s="63" t="s">
        <v>651</v>
      </c>
      <c r="B134" s="257">
        <v>63000.0</v>
      </c>
      <c r="C134" s="257">
        <v>84000.0</v>
      </c>
      <c r="D134" s="257">
        <v>105000.0</v>
      </c>
      <c r="E134" s="257">
        <v>126000.0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242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242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242"/>
    </row>
    <row r="137" ht="25.5" customHeight="1">
      <c r="A137" s="199" t="s">
        <v>672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242"/>
    </row>
    <row r="138" ht="15.75" customHeight="1">
      <c r="A138" s="200" t="s">
        <v>558</v>
      </c>
      <c r="B138" s="63" t="s">
        <v>638</v>
      </c>
      <c r="C138" s="63" t="s">
        <v>639</v>
      </c>
      <c r="D138" s="63" t="s">
        <v>640</v>
      </c>
      <c r="E138" s="63" t="s">
        <v>641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242"/>
    </row>
    <row r="139" ht="15.75" customHeight="1">
      <c r="A139" s="63" t="s">
        <v>638</v>
      </c>
      <c r="B139" s="257">
        <v>19000.0</v>
      </c>
      <c r="C139" s="257">
        <v>19000.0</v>
      </c>
      <c r="D139" s="257">
        <v>35000.0</v>
      </c>
      <c r="E139" s="257">
        <v>35000.0</v>
      </c>
      <c r="F139" s="11"/>
      <c r="G139" s="14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242"/>
    </row>
    <row r="140" ht="15.75" customHeight="1">
      <c r="A140" s="63" t="s">
        <v>639</v>
      </c>
      <c r="B140" s="257">
        <v>19000.0</v>
      </c>
      <c r="C140" s="257">
        <v>35000.0</v>
      </c>
      <c r="D140" s="257">
        <v>35000.0</v>
      </c>
      <c r="E140" s="257">
        <v>35000.0</v>
      </c>
      <c r="F140" s="11"/>
      <c r="G140" s="14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242"/>
    </row>
    <row r="141" ht="15.75" customHeight="1">
      <c r="A141" s="63" t="s">
        <v>640</v>
      </c>
      <c r="B141" s="257">
        <v>35000.0</v>
      </c>
      <c r="C141" s="257">
        <v>35000.0</v>
      </c>
      <c r="D141" s="256">
        <v>35000.0</v>
      </c>
      <c r="E141" s="257">
        <v>42000.0</v>
      </c>
      <c r="F141" s="254" t="s">
        <v>671</v>
      </c>
      <c r="G141" s="14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242"/>
    </row>
    <row r="142" ht="15.75" customHeight="1">
      <c r="A142" s="63" t="s">
        <v>641</v>
      </c>
      <c r="B142" s="257">
        <v>35000.0</v>
      </c>
      <c r="C142" s="257">
        <v>35000.0</v>
      </c>
      <c r="D142" s="257">
        <v>42000.0</v>
      </c>
      <c r="E142" s="257">
        <v>50400.0</v>
      </c>
      <c r="F142" s="11"/>
      <c r="G142" s="14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242"/>
    </row>
    <row r="143" ht="15.75" customHeight="1">
      <c r="A143" s="63" t="s">
        <v>643</v>
      </c>
      <c r="B143" s="257">
        <v>35000.0</v>
      </c>
      <c r="C143" s="257">
        <v>39200.0</v>
      </c>
      <c r="D143" s="257">
        <v>49000.0</v>
      </c>
      <c r="E143" s="257">
        <v>58800.0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242"/>
    </row>
    <row r="144" ht="15.75" customHeight="1">
      <c r="A144" s="63" t="s">
        <v>644</v>
      </c>
      <c r="B144" s="257">
        <v>35000.0</v>
      </c>
      <c r="C144" s="257">
        <v>44800.0</v>
      </c>
      <c r="D144" s="257">
        <v>56000.0</v>
      </c>
      <c r="E144" s="257">
        <v>67200.0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242"/>
    </row>
    <row r="145" ht="15.75" customHeight="1">
      <c r="A145" s="63" t="s">
        <v>645</v>
      </c>
      <c r="B145" s="257">
        <v>37800.0</v>
      </c>
      <c r="C145" s="257">
        <v>50400.0</v>
      </c>
      <c r="D145" s="257">
        <v>63000.0</v>
      </c>
      <c r="E145" s="257">
        <v>75600.0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242"/>
    </row>
    <row r="146" ht="15.75" customHeight="1">
      <c r="A146" s="63" t="s">
        <v>646</v>
      </c>
      <c r="B146" s="257">
        <v>42000.0</v>
      </c>
      <c r="C146" s="257">
        <v>56000.0</v>
      </c>
      <c r="D146" s="257">
        <v>70000.0</v>
      </c>
      <c r="E146" s="257">
        <v>84000.0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242"/>
    </row>
    <row r="147" ht="15.75" customHeight="1">
      <c r="A147" s="63" t="s">
        <v>647</v>
      </c>
      <c r="B147" s="257">
        <v>46200.0</v>
      </c>
      <c r="C147" s="257">
        <v>61600.0</v>
      </c>
      <c r="D147" s="257">
        <v>77000.0</v>
      </c>
      <c r="E147" s="257">
        <v>92400.0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242"/>
    </row>
    <row r="148" ht="15.75" customHeight="1">
      <c r="A148" s="63" t="s">
        <v>648</v>
      </c>
      <c r="B148" s="257">
        <v>50400.0</v>
      </c>
      <c r="C148" s="257">
        <v>67200.0</v>
      </c>
      <c r="D148" s="257">
        <v>84000.0</v>
      </c>
      <c r="E148" s="257">
        <v>100800.0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242"/>
    </row>
    <row r="149" ht="15.75" customHeight="1">
      <c r="A149" s="63" t="s">
        <v>649</v>
      </c>
      <c r="B149" s="257">
        <v>54600.0</v>
      </c>
      <c r="C149" s="257">
        <v>72800.0</v>
      </c>
      <c r="D149" s="257">
        <v>91000.0</v>
      </c>
      <c r="E149" s="257">
        <v>109200.0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242"/>
    </row>
    <row r="150" ht="15.75" customHeight="1">
      <c r="A150" s="63" t="s">
        <v>650</v>
      </c>
      <c r="B150" s="257">
        <v>58800.0</v>
      </c>
      <c r="C150" s="257">
        <v>78400.0</v>
      </c>
      <c r="D150" s="257">
        <v>98000.0</v>
      </c>
      <c r="E150" s="257">
        <v>117600.0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242"/>
    </row>
    <row r="151" ht="15.75" customHeight="1">
      <c r="A151" s="63" t="s">
        <v>651</v>
      </c>
      <c r="B151" s="257">
        <v>63000.0</v>
      </c>
      <c r="C151" s="257">
        <v>84000.0</v>
      </c>
      <c r="D151" s="257">
        <v>105000.0</v>
      </c>
      <c r="E151" s="257">
        <v>126000.0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242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242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242"/>
    </row>
    <row r="154" ht="27.0" customHeight="1">
      <c r="A154" s="199" t="s">
        <v>673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242"/>
    </row>
    <row r="155" ht="15.75" customHeight="1">
      <c r="A155" s="200" t="s">
        <v>558</v>
      </c>
      <c r="B155" s="63" t="s">
        <v>638</v>
      </c>
      <c r="C155" s="63" t="s">
        <v>639</v>
      </c>
      <c r="D155" s="63" t="s">
        <v>640</v>
      </c>
      <c r="E155" s="63" t="s">
        <v>641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242"/>
    </row>
    <row r="156" ht="15.75" customHeight="1">
      <c r="A156" s="63" t="s">
        <v>638</v>
      </c>
      <c r="B156" s="257">
        <v>19000.0</v>
      </c>
      <c r="C156" s="257">
        <v>19000.0</v>
      </c>
      <c r="D156" s="257">
        <v>35000.0</v>
      </c>
      <c r="E156" s="257">
        <v>35000.0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242"/>
    </row>
    <row r="157" ht="15.75" customHeight="1">
      <c r="A157" s="63" t="s">
        <v>639</v>
      </c>
      <c r="B157" s="257">
        <v>19000.0</v>
      </c>
      <c r="C157" s="257">
        <v>35000.0</v>
      </c>
      <c r="D157" s="257">
        <v>35000.0</v>
      </c>
      <c r="E157" s="257">
        <v>35000.0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242"/>
    </row>
    <row r="158" ht="15.75" customHeight="1">
      <c r="A158" s="63" t="s">
        <v>640</v>
      </c>
      <c r="B158" s="257">
        <v>35000.0</v>
      </c>
      <c r="C158" s="257">
        <v>35000.0</v>
      </c>
      <c r="D158" s="256">
        <v>35000.0</v>
      </c>
      <c r="E158" s="257">
        <v>42000.0</v>
      </c>
      <c r="F158" s="254" t="s">
        <v>671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242"/>
    </row>
    <row r="159" ht="15.75" customHeight="1">
      <c r="A159" s="63" t="s">
        <v>641</v>
      </c>
      <c r="B159" s="257">
        <v>35000.0</v>
      </c>
      <c r="C159" s="257">
        <v>35000.0</v>
      </c>
      <c r="D159" s="257">
        <v>42000.0</v>
      </c>
      <c r="E159" s="257">
        <v>50400.0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242"/>
    </row>
    <row r="160" ht="15.75" customHeight="1">
      <c r="A160" s="63" t="s">
        <v>643</v>
      </c>
      <c r="B160" s="257">
        <v>35000.0</v>
      </c>
      <c r="C160" s="257">
        <v>39200.0</v>
      </c>
      <c r="D160" s="257">
        <v>49000.0</v>
      </c>
      <c r="E160" s="257">
        <v>58800.0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242"/>
    </row>
    <row r="161" ht="15.75" customHeight="1">
      <c r="A161" s="63" t="s">
        <v>644</v>
      </c>
      <c r="B161" s="257">
        <v>35000.0</v>
      </c>
      <c r="C161" s="257">
        <v>44800.0</v>
      </c>
      <c r="D161" s="257">
        <v>56000.0</v>
      </c>
      <c r="E161" s="257">
        <v>67200.0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242"/>
    </row>
    <row r="162" ht="15.75" customHeight="1">
      <c r="A162" s="63" t="s">
        <v>645</v>
      </c>
      <c r="B162" s="257">
        <v>37800.0</v>
      </c>
      <c r="C162" s="257">
        <v>50400.0</v>
      </c>
      <c r="D162" s="257">
        <v>63000.0</v>
      </c>
      <c r="E162" s="257">
        <v>75600.0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242"/>
    </row>
    <row r="163" ht="15.75" customHeight="1">
      <c r="A163" s="63" t="s">
        <v>646</v>
      </c>
      <c r="B163" s="257">
        <v>42000.0</v>
      </c>
      <c r="C163" s="257">
        <v>56000.0</v>
      </c>
      <c r="D163" s="257">
        <v>70000.0</v>
      </c>
      <c r="E163" s="257">
        <v>84000.0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242"/>
    </row>
    <row r="164" ht="15.75" customHeight="1">
      <c r="A164" s="63" t="s">
        <v>647</v>
      </c>
      <c r="B164" s="257">
        <v>46200.0</v>
      </c>
      <c r="C164" s="257">
        <v>61600.0</v>
      </c>
      <c r="D164" s="257">
        <v>77000.0</v>
      </c>
      <c r="E164" s="257">
        <v>92400.0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242"/>
    </row>
    <row r="165" ht="15.75" customHeight="1">
      <c r="A165" s="63" t="s">
        <v>648</v>
      </c>
      <c r="B165" s="257">
        <v>50400.0</v>
      </c>
      <c r="C165" s="257">
        <v>67200.0</v>
      </c>
      <c r="D165" s="257">
        <v>84000.0</v>
      </c>
      <c r="E165" s="257">
        <v>100800.0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242"/>
    </row>
    <row r="166" ht="15.75" customHeight="1">
      <c r="A166" s="63" t="s">
        <v>649</v>
      </c>
      <c r="B166" s="257">
        <v>54600.0</v>
      </c>
      <c r="C166" s="257">
        <v>72800.0</v>
      </c>
      <c r="D166" s="257">
        <v>91000.0</v>
      </c>
      <c r="E166" s="257">
        <v>109200.0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242"/>
    </row>
    <row r="167" ht="15.75" customHeight="1">
      <c r="A167" s="63" t="s">
        <v>650</v>
      </c>
      <c r="B167" s="257">
        <v>58800.0</v>
      </c>
      <c r="C167" s="257">
        <v>78400.0</v>
      </c>
      <c r="D167" s="257">
        <v>98000.0</v>
      </c>
      <c r="E167" s="257">
        <v>117600.0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242"/>
    </row>
    <row r="168" ht="15.75" customHeight="1">
      <c r="A168" s="63" t="s">
        <v>651</v>
      </c>
      <c r="B168" s="257">
        <v>63000.0</v>
      </c>
      <c r="C168" s="257">
        <v>84000.0</v>
      </c>
      <c r="D168" s="257">
        <v>105000.0</v>
      </c>
      <c r="E168" s="257">
        <v>126000.0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242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242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242"/>
    </row>
    <row r="171" ht="24.75" customHeight="1">
      <c r="A171" s="199" t="s">
        <v>674</v>
      </c>
      <c r="E171" s="19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242"/>
    </row>
    <row r="172" ht="15.75" customHeight="1">
      <c r="A172" s="200" t="s">
        <v>558</v>
      </c>
      <c r="B172" s="63" t="s">
        <v>638</v>
      </c>
      <c r="C172" s="63" t="s">
        <v>639</v>
      </c>
      <c r="D172" s="6" t="s">
        <v>640</v>
      </c>
      <c r="E172" s="63" t="s">
        <v>641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242"/>
    </row>
    <row r="173" ht="15.75" customHeight="1">
      <c r="A173" s="63" t="s">
        <v>638</v>
      </c>
      <c r="B173" s="257">
        <v>19000.0</v>
      </c>
      <c r="C173" s="257">
        <v>19000.0</v>
      </c>
      <c r="D173" s="257">
        <v>35000.0</v>
      </c>
      <c r="E173" s="257">
        <v>35000.0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242"/>
    </row>
    <row r="174" ht="15.75" customHeight="1">
      <c r="A174" s="63" t="s">
        <v>639</v>
      </c>
      <c r="B174" s="257">
        <v>19000.0</v>
      </c>
      <c r="C174" s="257">
        <v>35000.0</v>
      </c>
      <c r="D174" s="257">
        <v>35000.0</v>
      </c>
      <c r="E174" s="257">
        <v>35000.0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242"/>
    </row>
    <row r="175" ht="15.75" customHeight="1">
      <c r="A175" s="63" t="s">
        <v>640</v>
      </c>
      <c r="B175" s="257">
        <v>35000.0</v>
      </c>
      <c r="C175" s="257">
        <v>35000.0</v>
      </c>
      <c r="D175" s="256">
        <v>35000.0</v>
      </c>
      <c r="E175" s="257">
        <v>42000.0</v>
      </c>
      <c r="F175" s="254" t="s">
        <v>671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242"/>
    </row>
    <row r="176" ht="15.75" customHeight="1">
      <c r="A176" s="63" t="s">
        <v>641</v>
      </c>
      <c r="B176" s="257">
        <v>35000.0</v>
      </c>
      <c r="C176" s="257">
        <v>35000.0</v>
      </c>
      <c r="D176" s="257">
        <v>42000.0</v>
      </c>
      <c r="E176" s="257">
        <v>50400.0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242"/>
    </row>
    <row r="177" ht="15.75" customHeight="1">
      <c r="A177" s="63" t="s">
        <v>643</v>
      </c>
      <c r="B177" s="257">
        <v>35000.0</v>
      </c>
      <c r="C177" s="257">
        <v>39200.0</v>
      </c>
      <c r="D177" s="257">
        <v>49000.0</v>
      </c>
      <c r="E177" s="257">
        <v>58800.0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242"/>
    </row>
    <row r="178" ht="15.75" customHeight="1">
      <c r="A178" s="63" t="s">
        <v>644</v>
      </c>
      <c r="B178" s="257">
        <v>35000.0</v>
      </c>
      <c r="C178" s="257">
        <v>44800.0</v>
      </c>
      <c r="D178" s="257">
        <v>56000.0</v>
      </c>
      <c r="E178" s="257">
        <v>67200.0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242"/>
    </row>
    <row r="179" ht="15.75" customHeight="1">
      <c r="A179" s="63" t="s">
        <v>645</v>
      </c>
      <c r="B179" s="257">
        <v>37800.0</v>
      </c>
      <c r="C179" s="257">
        <v>50400.0</v>
      </c>
      <c r="D179" s="257">
        <v>63000.0</v>
      </c>
      <c r="E179" s="257">
        <v>75600.0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242"/>
    </row>
    <row r="180" ht="15.75" customHeight="1">
      <c r="A180" s="63" t="s">
        <v>646</v>
      </c>
      <c r="B180" s="257">
        <v>42000.0</v>
      </c>
      <c r="C180" s="257">
        <v>56000.0</v>
      </c>
      <c r="D180" s="257">
        <v>70000.0</v>
      </c>
      <c r="E180" s="257">
        <v>84000.0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242"/>
    </row>
    <row r="181" ht="15.75" customHeight="1">
      <c r="A181" s="63" t="s">
        <v>647</v>
      </c>
      <c r="B181" s="257">
        <v>46200.0</v>
      </c>
      <c r="C181" s="257">
        <v>61600.0</v>
      </c>
      <c r="D181" s="257">
        <v>77000.0</v>
      </c>
      <c r="E181" s="257">
        <v>92400.0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242"/>
    </row>
    <row r="182" ht="15.75" customHeight="1">
      <c r="A182" s="63" t="s">
        <v>648</v>
      </c>
      <c r="B182" s="257">
        <v>50400.0</v>
      </c>
      <c r="C182" s="257">
        <v>67200.0</v>
      </c>
      <c r="D182" s="257">
        <v>84000.0</v>
      </c>
      <c r="E182" s="257">
        <v>100800.0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242"/>
    </row>
    <row r="183" ht="15.75" customHeight="1">
      <c r="A183" s="63" t="s">
        <v>649</v>
      </c>
      <c r="B183" s="257">
        <v>54600.0</v>
      </c>
      <c r="C183" s="257">
        <v>72800.0</v>
      </c>
      <c r="D183" s="257">
        <v>91000.0</v>
      </c>
      <c r="E183" s="257">
        <v>109200.0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242"/>
    </row>
    <row r="184" ht="15.75" customHeight="1">
      <c r="A184" s="63" t="s">
        <v>650</v>
      </c>
      <c r="B184" s="257">
        <v>58800.0</v>
      </c>
      <c r="C184" s="257">
        <v>78400.0</v>
      </c>
      <c r="D184" s="257">
        <v>98000.0</v>
      </c>
      <c r="E184" s="257">
        <v>117600.0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242"/>
    </row>
    <row r="185" ht="15.75" customHeight="1">
      <c r="A185" s="63" t="s">
        <v>651</v>
      </c>
      <c r="B185" s="257">
        <v>63000.0</v>
      </c>
      <c r="C185" s="257">
        <v>84000.0</v>
      </c>
      <c r="D185" s="257">
        <v>105000.0</v>
      </c>
      <c r="E185" s="257">
        <v>126000.0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242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242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242"/>
    </row>
    <row r="188" ht="26.25" customHeight="1">
      <c r="A188" s="199" t="s">
        <v>675</v>
      </c>
      <c r="E188" s="250" t="s">
        <v>676</v>
      </c>
      <c r="F188" s="147"/>
      <c r="G188" s="147"/>
      <c r="H188" s="147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242"/>
    </row>
    <row r="189" ht="15.75" customHeight="1">
      <c r="A189" s="145" t="s">
        <v>677</v>
      </c>
      <c r="B189" s="8" t="s">
        <v>233</v>
      </c>
      <c r="C189" s="8" t="s">
        <v>409</v>
      </c>
      <c r="D189" s="8" t="s">
        <v>678</v>
      </c>
      <c r="E189" s="147"/>
      <c r="F189" s="147"/>
      <c r="G189" s="147"/>
      <c r="H189" s="147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242"/>
    </row>
    <row r="190" ht="15.75" customHeight="1">
      <c r="A190" s="8" t="s">
        <v>679</v>
      </c>
      <c r="B190" s="229">
        <v>7000.0</v>
      </c>
      <c r="C190" s="229">
        <v>12000.0</v>
      </c>
      <c r="D190" s="229">
        <v>20000.0</v>
      </c>
      <c r="E190" s="229"/>
      <c r="F190" s="229"/>
      <c r="G190" s="229"/>
      <c r="H190" s="147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242"/>
    </row>
    <row r="191" ht="15.75" customHeight="1">
      <c r="A191" s="8" t="s">
        <v>680</v>
      </c>
      <c r="B191" s="262">
        <v>8500.0</v>
      </c>
      <c r="C191" s="262">
        <v>14000.0</v>
      </c>
      <c r="D191" s="262">
        <v>24000.0</v>
      </c>
      <c r="E191" s="147"/>
      <c r="F191" s="147"/>
      <c r="G191" s="147"/>
      <c r="H191" s="147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242"/>
    </row>
    <row r="192" ht="15.75" customHeight="1">
      <c r="A192" s="147"/>
      <c r="B192" s="147"/>
      <c r="C192" s="147"/>
      <c r="D192" s="147"/>
      <c r="E192" s="147"/>
      <c r="F192" s="147"/>
      <c r="G192" s="147"/>
      <c r="H192" s="147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242"/>
    </row>
    <row r="193" ht="15.75" customHeight="1">
      <c r="A193" s="147"/>
      <c r="B193" s="147"/>
      <c r="C193" s="147"/>
      <c r="D193" s="147"/>
      <c r="E193" s="147"/>
      <c r="F193" s="147"/>
      <c r="G193" s="147"/>
      <c r="H193" s="147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242"/>
    </row>
    <row r="194" ht="25.5" customHeight="1">
      <c r="A194" s="199" t="s">
        <v>681</v>
      </c>
      <c r="E194" s="250" t="s">
        <v>676</v>
      </c>
      <c r="F194" s="147"/>
      <c r="G194" s="147"/>
      <c r="H194" s="147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242"/>
    </row>
    <row r="195" ht="15.75" customHeight="1">
      <c r="A195" s="145" t="s">
        <v>677</v>
      </c>
      <c r="B195" s="8" t="s">
        <v>233</v>
      </c>
      <c r="C195" s="8" t="s">
        <v>409</v>
      </c>
      <c r="D195" s="8" t="s">
        <v>678</v>
      </c>
      <c r="E195" s="221"/>
      <c r="F195" s="221"/>
      <c r="G195" s="221"/>
      <c r="H195" s="147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242"/>
    </row>
    <row r="196" ht="15.75" customHeight="1">
      <c r="A196" s="8" t="s">
        <v>682</v>
      </c>
      <c r="B196" s="229">
        <v>8500.0</v>
      </c>
      <c r="C196" s="229">
        <v>13000.0</v>
      </c>
      <c r="D196" s="229">
        <v>23000.0</v>
      </c>
      <c r="E196" s="229"/>
      <c r="F196" s="229"/>
      <c r="G196" s="229"/>
      <c r="H196" s="147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242"/>
    </row>
    <row r="197" ht="15.75" customHeight="1">
      <c r="A197" s="8" t="s">
        <v>683</v>
      </c>
      <c r="B197" s="262">
        <v>10000.0</v>
      </c>
      <c r="C197" s="262">
        <v>16000.0</v>
      </c>
      <c r="D197" s="262">
        <v>30000.0</v>
      </c>
      <c r="E197" s="147"/>
      <c r="F197" s="147"/>
      <c r="G197" s="147"/>
      <c r="H197" s="147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242"/>
    </row>
    <row r="198" ht="15.75" customHeight="1">
      <c r="A198" s="147"/>
      <c r="B198" s="147"/>
      <c r="C198" s="147"/>
      <c r="D198" s="147"/>
      <c r="E198" s="147"/>
      <c r="F198" s="147"/>
      <c r="G198" s="147"/>
      <c r="H198" s="147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242"/>
    </row>
    <row r="199" ht="15.75" customHeight="1">
      <c r="A199" s="147"/>
      <c r="B199" s="147"/>
      <c r="C199" s="147"/>
      <c r="D199" s="147"/>
      <c r="E199" s="147"/>
      <c r="F199" s="147"/>
      <c r="G199" s="147"/>
      <c r="H199" s="147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242"/>
    </row>
    <row r="200" ht="25.5" customHeight="1">
      <c r="A200" s="199" t="s">
        <v>684</v>
      </c>
      <c r="E200" s="250" t="s">
        <v>676</v>
      </c>
      <c r="F200" s="147"/>
      <c r="G200" s="147"/>
      <c r="H200" s="147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242"/>
    </row>
    <row r="201" ht="15.75" customHeight="1">
      <c r="A201" s="145" t="s">
        <v>685</v>
      </c>
      <c r="B201" s="8" t="s">
        <v>233</v>
      </c>
      <c r="C201" s="8" t="s">
        <v>409</v>
      </c>
      <c r="D201" s="8" t="s">
        <v>678</v>
      </c>
      <c r="E201" s="147"/>
      <c r="F201" s="147"/>
      <c r="G201" s="147"/>
      <c r="H201" s="147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242"/>
    </row>
    <row r="202" ht="15.75" customHeight="1">
      <c r="A202" s="44">
        <v>1.0</v>
      </c>
      <c r="B202" s="229">
        <v>16000.0</v>
      </c>
      <c r="C202" s="229">
        <v>23000.0</v>
      </c>
      <c r="D202" s="229">
        <v>35000.0</v>
      </c>
      <c r="E202" s="147"/>
      <c r="F202" s="147"/>
      <c r="G202" s="147"/>
      <c r="H202" s="147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242"/>
    </row>
    <row r="203" ht="15.75" customHeight="1">
      <c r="A203" s="147"/>
      <c r="B203" s="147"/>
      <c r="C203" s="147"/>
      <c r="D203" s="147"/>
      <c r="E203" s="147"/>
      <c r="F203" s="147"/>
      <c r="G203" s="147"/>
      <c r="H203" s="147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242"/>
    </row>
    <row r="204" ht="15.75" customHeight="1">
      <c r="A204" s="147"/>
      <c r="B204" s="147"/>
      <c r="C204" s="147"/>
      <c r="D204" s="147"/>
      <c r="E204" s="147"/>
      <c r="F204" s="147"/>
      <c r="G204" s="147"/>
      <c r="H204" s="147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242"/>
    </row>
    <row r="205" ht="27.0" customHeight="1">
      <c r="A205" s="199" t="s">
        <v>686</v>
      </c>
      <c r="H205" s="250" t="s">
        <v>687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242"/>
    </row>
    <row r="206" ht="15.75" customHeight="1">
      <c r="A206" s="145" t="s">
        <v>685</v>
      </c>
      <c r="B206" s="8" t="s">
        <v>688</v>
      </c>
      <c r="C206" s="8" t="s">
        <v>689</v>
      </c>
      <c r="D206" s="8" t="s">
        <v>690</v>
      </c>
      <c r="E206" s="8" t="s">
        <v>691</v>
      </c>
      <c r="F206" s="45" t="s">
        <v>232</v>
      </c>
      <c r="G206" s="45" t="s">
        <v>233</v>
      </c>
      <c r="H206" s="147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242"/>
    </row>
    <row r="207" ht="15.75" customHeight="1">
      <c r="A207" s="44">
        <v>1.0</v>
      </c>
      <c r="B207" s="262">
        <v>9000.0</v>
      </c>
      <c r="C207" s="262">
        <v>10000.0</v>
      </c>
      <c r="D207" s="262">
        <v>11000.0</v>
      </c>
      <c r="E207" s="229">
        <v>13000.0</v>
      </c>
      <c r="F207" s="229">
        <v>16000.0</v>
      </c>
      <c r="G207" s="229">
        <v>21000.0</v>
      </c>
      <c r="H207" s="47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242"/>
    </row>
    <row r="208" ht="15.75" customHeight="1">
      <c r="A208" s="147"/>
      <c r="B208" s="147"/>
      <c r="C208" s="147"/>
      <c r="D208" s="147"/>
      <c r="E208" s="147"/>
      <c r="F208" s="147"/>
      <c r="G208" s="147"/>
      <c r="H208" s="147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242"/>
    </row>
    <row r="209" ht="15.75" customHeight="1">
      <c r="A209" s="147"/>
      <c r="B209" s="147"/>
      <c r="C209" s="147"/>
      <c r="D209" s="147"/>
      <c r="E209" s="147"/>
      <c r="F209" s="147"/>
      <c r="G209" s="147"/>
      <c r="H209" s="147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242"/>
    </row>
    <row r="210" ht="23.25" customHeight="1">
      <c r="A210" s="199" t="s">
        <v>692</v>
      </c>
      <c r="G210" s="250" t="s">
        <v>693</v>
      </c>
      <c r="H210" s="147"/>
      <c r="I210" s="11"/>
      <c r="J210" s="263" t="s">
        <v>694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242"/>
    </row>
    <row r="211" ht="15.75" customHeight="1">
      <c r="A211" s="145" t="s">
        <v>685</v>
      </c>
      <c r="B211" s="45" t="s">
        <v>233</v>
      </c>
      <c r="C211" s="45" t="s">
        <v>409</v>
      </c>
      <c r="D211" s="45" t="s">
        <v>678</v>
      </c>
      <c r="E211" s="45" t="s">
        <v>695</v>
      </c>
      <c r="F211" s="45" t="s">
        <v>696</v>
      </c>
      <c r="J211" s="145" t="s">
        <v>697</v>
      </c>
      <c r="K211" s="145" t="s">
        <v>698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242"/>
    </row>
    <row r="212" ht="15.75" customHeight="1">
      <c r="A212" s="128">
        <v>1.0</v>
      </c>
      <c r="B212" s="255">
        <v>13000.0</v>
      </c>
      <c r="C212" s="255">
        <v>15000.0</v>
      </c>
      <c r="D212" s="255">
        <v>22000.0</v>
      </c>
      <c r="E212" s="255">
        <v>15000.0</v>
      </c>
      <c r="F212" s="255">
        <v>32000.0</v>
      </c>
      <c r="J212" s="7" t="s">
        <v>699</v>
      </c>
      <c r="K212" s="7">
        <v>0.0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242"/>
    </row>
    <row r="213" ht="15.75" customHeight="1">
      <c r="A213" s="147"/>
      <c r="B213" s="147"/>
      <c r="C213" s="147"/>
      <c r="D213" s="147"/>
      <c r="E213" s="147"/>
      <c r="F213" s="147"/>
      <c r="G213" s="147"/>
      <c r="H213" s="147"/>
      <c r="I213" s="11"/>
      <c r="J213" s="7" t="s">
        <v>700</v>
      </c>
      <c r="K213" s="148">
        <v>6500.0</v>
      </c>
      <c r="L213" s="264" t="s">
        <v>701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242"/>
    </row>
    <row r="214" ht="15.75" customHeight="1">
      <c r="A214" s="147"/>
      <c r="B214" s="147"/>
      <c r="C214" s="147"/>
      <c r="D214" s="147"/>
      <c r="E214" s="147"/>
      <c r="F214" s="147"/>
      <c r="G214" s="147"/>
      <c r="H214" s="147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242"/>
    </row>
    <row r="215" ht="15.75" customHeight="1">
      <c r="A215" s="147"/>
      <c r="B215" s="147"/>
      <c r="C215" s="147"/>
      <c r="D215" s="147"/>
      <c r="E215" s="147"/>
      <c r="F215" s="147"/>
      <c r="G215" s="147"/>
      <c r="H215" s="147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242"/>
    </row>
    <row r="216" ht="27.0" customHeight="1">
      <c r="A216" s="265" t="s">
        <v>702</v>
      </c>
      <c r="E216" s="250" t="s">
        <v>703</v>
      </c>
      <c r="J216" s="259" t="s">
        <v>704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242"/>
    </row>
    <row r="217" ht="15.75" customHeight="1">
      <c r="A217" s="145" t="s">
        <v>685</v>
      </c>
      <c r="B217" s="8" t="s">
        <v>232</v>
      </c>
      <c r="C217" s="8" t="s">
        <v>233</v>
      </c>
      <c r="D217" s="8" t="s">
        <v>409</v>
      </c>
      <c r="E217" s="9"/>
      <c r="J217" s="145" t="s">
        <v>705</v>
      </c>
      <c r="K217" s="8" t="s">
        <v>232</v>
      </c>
      <c r="L217" s="8" t="s">
        <v>233</v>
      </c>
      <c r="M217" s="8" t="s">
        <v>409</v>
      </c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242"/>
    </row>
    <row r="218" ht="15.75" customHeight="1">
      <c r="A218" s="7">
        <v>1.0</v>
      </c>
      <c r="B218" s="138">
        <v>6000.0</v>
      </c>
      <c r="C218" s="138">
        <v>10500.0</v>
      </c>
      <c r="D218" s="138">
        <v>20000.0</v>
      </c>
      <c r="E218" s="147"/>
      <c r="J218" s="6" t="s">
        <v>706</v>
      </c>
      <c r="K218" s="5">
        <v>0.0</v>
      </c>
      <c r="L218" s="5">
        <v>0.0</v>
      </c>
      <c r="M218" s="5">
        <v>0.0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242"/>
    </row>
    <row r="219" ht="15.75" customHeight="1">
      <c r="A219" s="7"/>
      <c r="B219" s="9"/>
      <c r="C219" s="9"/>
      <c r="D219" s="9"/>
      <c r="E219" s="147"/>
      <c r="J219" s="8" t="s">
        <v>707</v>
      </c>
      <c r="K219" s="148">
        <v>16000.0</v>
      </c>
      <c r="L219" s="148">
        <v>18000.0</v>
      </c>
      <c r="M219" s="148">
        <v>20000.0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242"/>
    </row>
    <row r="220" ht="15.75" customHeight="1">
      <c r="A220" s="147"/>
      <c r="B220" s="147"/>
      <c r="C220" s="147"/>
      <c r="D220" s="147"/>
      <c r="E220" s="147"/>
      <c r="J220" s="147"/>
      <c r="K220" s="147"/>
      <c r="L220" s="147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242"/>
    </row>
    <row r="221" ht="15.75" customHeight="1">
      <c r="A221" s="147"/>
      <c r="B221" s="147"/>
      <c r="C221" s="147"/>
      <c r="D221" s="147"/>
      <c r="E221" s="147"/>
      <c r="J221" s="147"/>
      <c r="K221" s="147"/>
      <c r="L221" s="147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242"/>
    </row>
    <row r="222" ht="15.75" customHeight="1">
      <c r="A222" s="147"/>
      <c r="B222" s="147"/>
      <c r="C222" s="147"/>
      <c r="D222" s="147"/>
      <c r="E222" s="147"/>
      <c r="J222" s="147"/>
      <c r="K222" s="147"/>
      <c r="L222" s="147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242"/>
    </row>
    <row r="223" ht="24.0" customHeight="1">
      <c r="A223" s="259" t="s">
        <v>708</v>
      </c>
      <c r="E223" s="250" t="s">
        <v>709</v>
      </c>
      <c r="J223" s="259" t="s">
        <v>710</v>
      </c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242"/>
    </row>
    <row r="224" ht="15.75" customHeight="1">
      <c r="A224" s="145" t="s">
        <v>685</v>
      </c>
      <c r="B224" s="8" t="s">
        <v>232</v>
      </c>
      <c r="C224" s="8" t="s">
        <v>233</v>
      </c>
      <c r="D224" s="8" t="s">
        <v>409</v>
      </c>
      <c r="E224" s="147"/>
      <c r="J224" s="145" t="s">
        <v>705</v>
      </c>
      <c r="K224" s="8" t="s">
        <v>232</v>
      </c>
      <c r="L224" s="8" t="s">
        <v>233</v>
      </c>
      <c r="M224" s="8" t="s">
        <v>409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242"/>
    </row>
    <row r="225" ht="15.75" customHeight="1">
      <c r="A225" s="128">
        <v>1.0</v>
      </c>
      <c r="B225" s="138">
        <v>6000.0</v>
      </c>
      <c r="C225" s="138">
        <v>8200.0</v>
      </c>
      <c r="D225" s="138">
        <v>16000.0</v>
      </c>
      <c r="E225" s="147"/>
      <c r="J225" s="6" t="s">
        <v>706</v>
      </c>
      <c r="K225" s="5">
        <v>0.0</v>
      </c>
      <c r="L225" s="5">
        <v>0.0</v>
      </c>
      <c r="M225" s="5">
        <v>0.0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242"/>
    </row>
    <row r="226" ht="15.75" customHeight="1">
      <c r="A226" s="7"/>
      <c r="B226" s="11"/>
      <c r="C226" s="11"/>
      <c r="D226" s="11"/>
      <c r="E226" s="11"/>
      <c r="J226" s="6" t="s">
        <v>711</v>
      </c>
      <c r="K226" s="148">
        <v>7000.0</v>
      </c>
      <c r="L226" s="148">
        <v>9800.0</v>
      </c>
      <c r="M226" s="148">
        <v>12000.0</v>
      </c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242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242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242"/>
    </row>
    <row r="229" ht="26.25" customHeight="1">
      <c r="A229" s="259" t="s">
        <v>712</v>
      </c>
      <c r="C229" s="250" t="s">
        <v>713</v>
      </c>
      <c r="D229" s="260"/>
      <c r="F229" s="11"/>
      <c r="G229" s="11"/>
      <c r="H229" s="11"/>
      <c r="I229" s="11"/>
      <c r="J229" s="199" t="s">
        <v>714</v>
      </c>
      <c r="L229" s="250" t="s">
        <v>715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242"/>
    </row>
    <row r="230" ht="15.75" customHeight="1">
      <c r="A230" s="145" t="s">
        <v>685</v>
      </c>
      <c r="B230" s="8" t="s">
        <v>716</v>
      </c>
      <c r="C230" s="8"/>
      <c r="D230" s="8"/>
      <c r="E230" s="147"/>
      <c r="F230" s="11"/>
      <c r="G230" s="11"/>
      <c r="H230" s="11"/>
      <c r="I230" s="11"/>
      <c r="J230" s="145" t="s">
        <v>697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242"/>
    </row>
    <row r="231" ht="15.75" customHeight="1">
      <c r="A231" s="128">
        <v>1.0</v>
      </c>
      <c r="B231" s="137">
        <v>22000.0</v>
      </c>
      <c r="C231" s="138"/>
      <c r="D231" s="138"/>
      <c r="E231" s="147"/>
      <c r="F231" s="11"/>
      <c r="G231" s="11"/>
      <c r="H231" s="11"/>
      <c r="I231" s="11"/>
      <c r="J231" s="5" t="s">
        <v>717</v>
      </c>
      <c r="K231" s="5">
        <v>0.0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242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" t="s">
        <v>718</v>
      </c>
      <c r="K232" s="148">
        <v>7000.0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242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" t="s">
        <v>719</v>
      </c>
      <c r="K233" s="261">
        <v>23000.0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242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" t="s">
        <v>720</v>
      </c>
      <c r="K234" s="261">
        <v>25000.0</v>
      </c>
      <c r="L234" s="11"/>
      <c r="M234" s="11"/>
      <c r="N234" s="11"/>
      <c r="O234" s="11"/>
      <c r="P234" s="85"/>
      <c r="Q234" s="85"/>
      <c r="R234" s="85"/>
      <c r="S234" s="85"/>
      <c r="T234" s="85"/>
      <c r="U234" s="85"/>
      <c r="V234" s="266"/>
      <c r="W234" s="266"/>
      <c r="X234" s="11"/>
      <c r="Y234" s="11"/>
      <c r="Z234" s="242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7"/>
      <c r="V235" s="267"/>
      <c r="W235" s="267"/>
      <c r="X235" s="11"/>
      <c r="Y235" s="11"/>
      <c r="Z235" s="242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7"/>
      <c r="V236" s="267"/>
      <c r="W236" s="267"/>
      <c r="X236" s="11"/>
      <c r="Y236" s="11"/>
      <c r="Z236" s="242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7"/>
      <c r="V237" s="267"/>
      <c r="W237" s="267"/>
      <c r="X237" s="11"/>
      <c r="Y237" s="11"/>
      <c r="Z237" s="242"/>
    </row>
    <row r="238" ht="24.0" customHeight="1">
      <c r="A238" s="259" t="s">
        <v>721</v>
      </c>
      <c r="C238" s="250" t="s">
        <v>713</v>
      </c>
      <c r="D238" s="26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X238" s="11"/>
      <c r="Y238" s="11"/>
      <c r="Z238" s="242"/>
    </row>
    <row r="239" ht="15.75" customHeight="1">
      <c r="A239" s="145" t="s">
        <v>685</v>
      </c>
      <c r="B239" s="8" t="s">
        <v>716</v>
      </c>
      <c r="C239" s="8"/>
      <c r="D239" s="8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X239" s="11"/>
      <c r="Y239" s="11"/>
      <c r="Z239" s="242"/>
    </row>
    <row r="240" ht="15.75" customHeight="1">
      <c r="A240" s="128">
        <v>1.0</v>
      </c>
      <c r="B240" s="137">
        <v>38000.0</v>
      </c>
      <c r="C240" s="138"/>
      <c r="D240" s="138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X240" s="11"/>
      <c r="Y240" s="11"/>
      <c r="Z240" s="242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X241" s="11"/>
      <c r="Y241" s="11"/>
      <c r="Z241" s="242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X242" s="11"/>
      <c r="Y242" s="11"/>
      <c r="Z242" s="242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X243" s="11"/>
      <c r="Y243" s="11"/>
      <c r="Z243" s="242"/>
    </row>
    <row r="244" ht="22.5" customHeight="1">
      <c r="A244" s="199" t="s">
        <v>722</v>
      </c>
      <c r="G244" s="62"/>
      <c r="H244" s="62"/>
      <c r="I244" s="62"/>
      <c r="J244" s="199" t="s">
        <v>723</v>
      </c>
      <c r="L244" s="250" t="s">
        <v>724</v>
      </c>
      <c r="M244" s="199" t="s">
        <v>725</v>
      </c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 ht="15.75" customHeight="1">
      <c r="A245" s="200" t="s">
        <v>558</v>
      </c>
      <c r="B245" s="63" t="s">
        <v>653</v>
      </c>
      <c r="C245" s="63" t="s">
        <v>640</v>
      </c>
      <c r="D245" s="63" t="s">
        <v>641</v>
      </c>
      <c r="E245" s="63" t="s">
        <v>726</v>
      </c>
      <c r="F245" s="6" t="s">
        <v>727</v>
      </c>
      <c r="G245" s="62"/>
      <c r="H245" s="62"/>
      <c r="I245" s="62"/>
      <c r="J245" s="145" t="s">
        <v>728</v>
      </c>
      <c r="K245" s="11"/>
      <c r="L245" s="62"/>
      <c r="M245" s="145" t="s">
        <v>697</v>
      </c>
      <c r="N245" s="11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 ht="15.75" customHeight="1">
      <c r="A246" s="63" t="s">
        <v>653</v>
      </c>
      <c r="B246" s="268">
        <v>8000.0</v>
      </c>
      <c r="C246" s="268">
        <v>8000.0</v>
      </c>
      <c r="D246" s="255">
        <v>8640.0</v>
      </c>
      <c r="E246" s="255">
        <v>10800.0</v>
      </c>
      <c r="F246" s="255">
        <v>12960.0</v>
      </c>
      <c r="G246" s="62"/>
      <c r="H246" s="62"/>
      <c r="I246" s="62"/>
      <c r="J246" s="5" t="s">
        <v>729</v>
      </c>
      <c r="K246" s="269">
        <v>3000.0</v>
      </c>
      <c r="L246" s="62"/>
      <c r="M246" s="5" t="s">
        <v>699</v>
      </c>
      <c r="N246" s="269">
        <v>0.0</v>
      </c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 ht="15.75" customHeight="1">
      <c r="A247" s="63" t="s">
        <v>640</v>
      </c>
      <c r="B247" s="257">
        <v>8000.0</v>
      </c>
      <c r="C247" s="270">
        <v>8000.0</v>
      </c>
      <c r="D247" s="255">
        <v>9600.0</v>
      </c>
      <c r="E247" s="255">
        <v>12000.0</v>
      </c>
      <c r="F247" s="255">
        <v>14400.0</v>
      </c>
      <c r="G247" s="254" t="s">
        <v>730</v>
      </c>
      <c r="H247" s="62"/>
      <c r="I247" s="62"/>
      <c r="J247" s="5" t="s">
        <v>731</v>
      </c>
      <c r="K247" s="261">
        <v>3000.0</v>
      </c>
      <c r="L247" s="62"/>
      <c r="M247" s="5" t="s">
        <v>732</v>
      </c>
      <c r="N247" s="261">
        <v>3000.0</v>
      </c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 ht="15.75" customHeight="1">
      <c r="A248" s="63" t="s">
        <v>641</v>
      </c>
      <c r="B248" s="255">
        <v>8640.0</v>
      </c>
      <c r="C248" s="255">
        <v>9600.0</v>
      </c>
      <c r="D248" s="255">
        <v>11520.0</v>
      </c>
      <c r="E248" s="255">
        <v>14400.0</v>
      </c>
      <c r="F248" s="255">
        <v>17280.0</v>
      </c>
      <c r="G248" s="62"/>
      <c r="H248" s="62"/>
      <c r="I248" s="62"/>
      <c r="J248" s="5" t="s">
        <v>733</v>
      </c>
      <c r="K248" s="261">
        <v>4000.0</v>
      </c>
      <c r="L248" s="62"/>
      <c r="M248" s="5" t="s">
        <v>734</v>
      </c>
      <c r="N248" s="261">
        <v>4000.0</v>
      </c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 ht="15.75" customHeight="1">
      <c r="A249" s="63" t="s">
        <v>643</v>
      </c>
      <c r="B249" s="255">
        <v>10080.0</v>
      </c>
      <c r="C249" s="255">
        <v>11200.0</v>
      </c>
      <c r="D249" s="255">
        <v>13440.0</v>
      </c>
      <c r="E249" s="255">
        <v>16800.0</v>
      </c>
      <c r="F249" s="255">
        <v>20160.0</v>
      </c>
      <c r="G249" s="62"/>
      <c r="H249" s="62"/>
      <c r="I249" s="62"/>
      <c r="J249" s="5" t="s">
        <v>735</v>
      </c>
      <c r="K249" s="261">
        <v>5000.0</v>
      </c>
      <c r="L249" s="62"/>
      <c r="M249" s="5" t="s">
        <v>736</v>
      </c>
      <c r="N249" s="261">
        <v>4000.0</v>
      </c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 ht="15.75" customHeight="1">
      <c r="A250" s="63" t="s">
        <v>644</v>
      </c>
      <c r="B250" s="255">
        <v>11520.0</v>
      </c>
      <c r="C250" s="255">
        <v>12800.0</v>
      </c>
      <c r="D250" s="255">
        <v>15360.0</v>
      </c>
      <c r="E250" s="255">
        <v>19200.0</v>
      </c>
      <c r="F250" s="255">
        <v>23040.0</v>
      </c>
      <c r="G250" s="62"/>
      <c r="H250" s="62"/>
      <c r="I250" s="62"/>
      <c r="J250" s="5" t="s">
        <v>737</v>
      </c>
      <c r="K250" s="269">
        <v>3000.0</v>
      </c>
      <c r="L250" s="62"/>
      <c r="M250" s="5" t="s">
        <v>738</v>
      </c>
      <c r="N250" s="269">
        <v>8000.0</v>
      </c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ht="15.75" customHeight="1">
      <c r="A251" s="63" t="s">
        <v>645</v>
      </c>
      <c r="B251" s="255">
        <v>12960.0</v>
      </c>
      <c r="C251" s="255">
        <v>14400.0</v>
      </c>
      <c r="D251" s="255">
        <v>17280.0</v>
      </c>
      <c r="E251" s="255">
        <v>21600.0</v>
      </c>
      <c r="F251" s="255">
        <v>25920.0</v>
      </c>
      <c r="G251" s="62"/>
      <c r="H251" s="62"/>
      <c r="I251" s="62"/>
      <c r="J251" s="5" t="s">
        <v>739</v>
      </c>
      <c r="K251" s="269">
        <v>4000.0</v>
      </c>
      <c r="L251" s="62"/>
      <c r="M251" s="5"/>
      <c r="N251" s="269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 ht="15.75" customHeight="1">
      <c r="A252" s="63" t="s">
        <v>646</v>
      </c>
      <c r="B252" s="255">
        <v>14400.0</v>
      </c>
      <c r="C252" s="255">
        <v>16000.0</v>
      </c>
      <c r="D252" s="255">
        <v>19200.0</v>
      </c>
      <c r="E252" s="255">
        <v>24000.0</v>
      </c>
      <c r="F252" s="255">
        <v>28800.0</v>
      </c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 ht="15.75" customHeight="1">
      <c r="A253" s="63" t="s">
        <v>647</v>
      </c>
      <c r="B253" s="255">
        <v>15840.0</v>
      </c>
      <c r="C253" s="255">
        <v>17600.0</v>
      </c>
      <c r="D253" s="255">
        <v>21120.0</v>
      </c>
      <c r="E253" s="255">
        <v>26400.0</v>
      </c>
      <c r="F253" s="255">
        <v>31680.0</v>
      </c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 ht="15.75" customHeight="1">
      <c r="A254" s="63" t="s">
        <v>648</v>
      </c>
      <c r="B254" s="255">
        <v>17280.0</v>
      </c>
      <c r="C254" s="255">
        <v>19200.0</v>
      </c>
      <c r="D254" s="255">
        <v>23040.0</v>
      </c>
      <c r="E254" s="255">
        <v>28800.0</v>
      </c>
      <c r="F254" s="255">
        <v>34560.0</v>
      </c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 ht="15.75" customHeight="1">
      <c r="A255" s="63" t="s">
        <v>649</v>
      </c>
      <c r="B255" s="255">
        <v>18720.0</v>
      </c>
      <c r="C255" s="255">
        <v>20800.0</v>
      </c>
      <c r="D255" s="255">
        <v>24960.0</v>
      </c>
      <c r="E255" s="255">
        <v>31200.0</v>
      </c>
      <c r="F255" s="255">
        <v>37440.0</v>
      </c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 ht="15.75" customHeight="1">
      <c r="A256" s="63" t="s">
        <v>650</v>
      </c>
      <c r="B256" s="255">
        <v>20160.0</v>
      </c>
      <c r="C256" s="255">
        <v>22400.0</v>
      </c>
      <c r="D256" s="255">
        <v>26880.0</v>
      </c>
      <c r="E256" s="255">
        <v>33600.0</v>
      </c>
      <c r="F256" s="255">
        <v>40320.0</v>
      </c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 ht="15.75" customHeight="1">
      <c r="A257" s="63" t="s">
        <v>651</v>
      </c>
      <c r="B257" s="255">
        <v>21600.0</v>
      </c>
      <c r="C257" s="255">
        <v>24000.0</v>
      </c>
      <c r="D257" s="255">
        <v>28800.0</v>
      </c>
      <c r="E257" s="255">
        <v>36000.0</v>
      </c>
      <c r="F257" s="255">
        <v>43200.0</v>
      </c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 ht="15.75" customHeight="1">
      <c r="A258" s="63" t="s">
        <v>740</v>
      </c>
      <c r="B258" s="271">
        <v>25200.0</v>
      </c>
      <c r="C258" s="271">
        <v>28000.0</v>
      </c>
      <c r="D258" s="271">
        <v>33600.0</v>
      </c>
      <c r="E258" s="271">
        <v>42000.0</v>
      </c>
      <c r="F258" s="271">
        <v>50400.0</v>
      </c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 ht="15.75" customHeight="1">
      <c r="A259" s="63" t="s">
        <v>741</v>
      </c>
      <c r="B259" s="271">
        <v>28800.0</v>
      </c>
      <c r="C259" s="271">
        <v>32000.0</v>
      </c>
      <c r="D259" s="271">
        <v>38400.0</v>
      </c>
      <c r="E259" s="271">
        <v>48000.0</v>
      </c>
      <c r="F259" s="271">
        <v>57600.0</v>
      </c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 ht="15.75" customHeight="1">
      <c r="A260" s="63" t="s">
        <v>742</v>
      </c>
      <c r="B260" s="271">
        <v>32400.0</v>
      </c>
      <c r="C260" s="271">
        <v>36000.0</v>
      </c>
      <c r="D260" s="271">
        <v>43200.0</v>
      </c>
      <c r="E260" s="271">
        <v>54000.0</v>
      </c>
      <c r="F260" s="271">
        <v>64800.0</v>
      </c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 ht="15.75" customHeight="1">
      <c r="A261" s="63" t="s">
        <v>743</v>
      </c>
      <c r="B261" s="255">
        <v>36000.0</v>
      </c>
      <c r="C261" s="255">
        <v>40000.0</v>
      </c>
      <c r="D261" s="255">
        <v>48000.0</v>
      </c>
      <c r="E261" s="255">
        <v>60000.0</v>
      </c>
      <c r="F261" s="255">
        <v>72000.0</v>
      </c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 ht="21.75" customHeight="1">
      <c r="A265" s="199" t="s">
        <v>744</v>
      </c>
      <c r="E265" s="200"/>
      <c r="F265" s="200"/>
      <c r="G265" s="62"/>
      <c r="H265" s="62"/>
      <c r="I265" s="62"/>
      <c r="J265" s="199" t="s">
        <v>745</v>
      </c>
      <c r="L265" s="250" t="s">
        <v>724</v>
      </c>
      <c r="M265" s="199" t="s">
        <v>746</v>
      </c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ht="15.75" customHeight="1">
      <c r="A266" s="200" t="s">
        <v>558</v>
      </c>
      <c r="B266" s="63" t="s">
        <v>653</v>
      </c>
      <c r="C266" s="63" t="s">
        <v>640</v>
      </c>
      <c r="D266" s="63" t="s">
        <v>641</v>
      </c>
      <c r="E266" s="63"/>
      <c r="F266" s="6"/>
      <c r="G266" s="62"/>
      <c r="H266" s="62"/>
      <c r="I266" s="62"/>
      <c r="J266" s="145" t="s">
        <v>728</v>
      </c>
      <c r="K266" s="11"/>
      <c r="L266" s="62"/>
      <c r="M266" s="145" t="s">
        <v>697</v>
      </c>
      <c r="N266" s="11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 ht="15.75" customHeight="1">
      <c r="A267" s="63" t="s">
        <v>653</v>
      </c>
      <c r="B267" s="268">
        <v>20000.0</v>
      </c>
      <c r="C267" s="268">
        <v>20000.0</v>
      </c>
      <c r="D267" s="271">
        <v>21600.0</v>
      </c>
      <c r="E267" s="255"/>
      <c r="F267" s="255"/>
      <c r="G267" s="62"/>
      <c r="H267" s="62"/>
      <c r="I267" s="62"/>
      <c r="J267" s="5" t="s">
        <v>747</v>
      </c>
      <c r="K267" s="269">
        <v>0.0</v>
      </c>
      <c r="L267" s="62"/>
      <c r="M267" s="5" t="s">
        <v>699</v>
      </c>
      <c r="N267" s="269">
        <v>0.0</v>
      </c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 ht="15.75" customHeight="1">
      <c r="A268" s="63" t="s">
        <v>640</v>
      </c>
      <c r="B268" s="268">
        <v>20000.0</v>
      </c>
      <c r="C268" s="270">
        <v>20000.0</v>
      </c>
      <c r="D268" s="271">
        <v>24000.0</v>
      </c>
      <c r="E268" s="254" t="s">
        <v>642</v>
      </c>
      <c r="F268" s="255"/>
      <c r="G268" s="62"/>
      <c r="H268" s="62"/>
      <c r="I268" s="62"/>
      <c r="J268" s="5" t="s">
        <v>731</v>
      </c>
      <c r="K268" s="261">
        <v>3000.0</v>
      </c>
      <c r="L268" s="62"/>
      <c r="M268" s="5" t="s">
        <v>732</v>
      </c>
      <c r="N268" s="261">
        <v>3000.0</v>
      </c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 ht="15.75" customHeight="1">
      <c r="A269" s="63" t="s">
        <v>641</v>
      </c>
      <c r="B269" s="255">
        <v>21600.0</v>
      </c>
      <c r="C269" s="255">
        <v>24000.0</v>
      </c>
      <c r="D269" s="255">
        <v>28800.0</v>
      </c>
      <c r="E269" s="255"/>
      <c r="F269" s="255"/>
      <c r="G269" s="62"/>
      <c r="H269" s="62"/>
      <c r="I269" s="62"/>
      <c r="J269" s="5" t="s">
        <v>733</v>
      </c>
      <c r="K269" s="261">
        <v>4000.0</v>
      </c>
      <c r="L269" s="62"/>
      <c r="M269" s="5" t="s">
        <v>734</v>
      </c>
      <c r="N269" s="261">
        <v>4000.0</v>
      </c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 ht="15.75" customHeight="1">
      <c r="A270" s="63" t="s">
        <v>643</v>
      </c>
      <c r="B270" s="255">
        <v>25200.0</v>
      </c>
      <c r="C270" s="255">
        <v>28000.0</v>
      </c>
      <c r="D270" s="255">
        <v>33600.0</v>
      </c>
      <c r="E270" s="255"/>
      <c r="F270" s="255"/>
      <c r="G270" s="62"/>
      <c r="H270" s="62"/>
      <c r="I270" s="62"/>
      <c r="J270" s="5" t="s">
        <v>735</v>
      </c>
      <c r="K270" s="261">
        <v>5000.0</v>
      </c>
      <c r="L270" s="62"/>
      <c r="M270" s="5"/>
      <c r="N270" s="261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 ht="15.75" customHeight="1">
      <c r="A271" s="63" t="s">
        <v>644</v>
      </c>
      <c r="B271" s="255">
        <v>28800.0</v>
      </c>
      <c r="C271" s="255">
        <v>32000.0</v>
      </c>
      <c r="D271" s="255">
        <v>38400.0</v>
      </c>
      <c r="E271" s="255"/>
      <c r="F271" s="255"/>
      <c r="G271" s="62"/>
      <c r="H271" s="62"/>
      <c r="I271" s="62"/>
      <c r="J271" s="5"/>
      <c r="K271" s="269"/>
      <c r="L271" s="62"/>
      <c r="M271" s="5"/>
      <c r="N271" s="269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 ht="15.75" customHeight="1">
      <c r="A272" s="63" t="s">
        <v>645</v>
      </c>
      <c r="B272" s="255">
        <v>32400.0</v>
      </c>
      <c r="C272" s="255">
        <v>36000.0</v>
      </c>
      <c r="D272" s="255">
        <v>43200.0</v>
      </c>
      <c r="E272" s="255"/>
      <c r="F272" s="255"/>
      <c r="G272" s="62"/>
      <c r="H272" s="62"/>
      <c r="I272" s="62"/>
      <c r="J272" s="5"/>
      <c r="K272" s="269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 ht="15.75" customHeight="1">
      <c r="A273" s="63" t="s">
        <v>646</v>
      </c>
      <c r="B273" s="255">
        <v>36000.0</v>
      </c>
      <c r="C273" s="255">
        <v>40000.0</v>
      </c>
      <c r="D273" s="255">
        <v>48000.0</v>
      </c>
      <c r="E273" s="255"/>
      <c r="F273" s="255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 ht="15.75" customHeight="1">
      <c r="A274" s="63" t="s">
        <v>647</v>
      </c>
      <c r="B274" s="255">
        <v>39600.0</v>
      </c>
      <c r="C274" s="255">
        <v>44000.0</v>
      </c>
      <c r="D274" s="255">
        <v>52800.0</v>
      </c>
      <c r="E274" s="255"/>
      <c r="F274" s="255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 ht="15.75" customHeight="1">
      <c r="A275" s="63" t="s">
        <v>648</v>
      </c>
      <c r="B275" s="255">
        <v>43200.0</v>
      </c>
      <c r="C275" s="255">
        <v>48000.0</v>
      </c>
      <c r="D275" s="255">
        <v>57600.0</v>
      </c>
      <c r="E275" s="255"/>
      <c r="F275" s="255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 ht="15.75" customHeight="1">
      <c r="A276" s="63" t="s">
        <v>649</v>
      </c>
      <c r="B276" s="255">
        <v>46800.0</v>
      </c>
      <c r="C276" s="255">
        <v>52000.0</v>
      </c>
      <c r="D276" s="255">
        <v>62400.0</v>
      </c>
      <c r="E276" s="255"/>
      <c r="F276" s="255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 ht="15.75" customHeight="1">
      <c r="A277" s="63" t="s">
        <v>650</v>
      </c>
      <c r="B277" s="255">
        <v>50400.0</v>
      </c>
      <c r="C277" s="255">
        <v>56000.0</v>
      </c>
      <c r="D277" s="255">
        <v>67200.0</v>
      </c>
      <c r="E277" s="255"/>
      <c r="F277" s="255"/>
      <c r="G277" s="62"/>
      <c r="H277" s="62"/>
      <c r="I277" s="62"/>
      <c r="J277" s="71"/>
      <c r="K277" s="71"/>
      <c r="L277" s="71"/>
      <c r="M277" s="71"/>
      <c r="N277" s="71"/>
      <c r="O277" s="71"/>
      <c r="P277" s="71"/>
      <c r="Q277" s="62"/>
      <c r="R277" s="62"/>
      <c r="S277" s="62"/>
      <c r="T277" s="62"/>
      <c r="U277" s="62"/>
      <c r="V277" s="62"/>
      <c r="W277" s="62"/>
      <c r="X277" s="62"/>
      <c r="Y277" s="62"/>
    </row>
    <row r="278" ht="15.75" customHeight="1">
      <c r="A278" s="63" t="s">
        <v>651</v>
      </c>
      <c r="B278" s="255">
        <v>54000.0</v>
      </c>
      <c r="C278" s="255">
        <v>60000.0</v>
      </c>
      <c r="D278" s="255">
        <v>72000.0</v>
      </c>
      <c r="E278" s="255"/>
      <c r="F278" s="255"/>
      <c r="G278" s="62"/>
      <c r="H278" s="62"/>
      <c r="I278" s="62"/>
      <c r="J278" s="71"/>
      <c r="K278" s="71"/>
      <c r="L278" s="71"/>
      <c r="M278" s="71"/>
      <c r="N278" s="71"/>
      <c r="O278" s="71"/>
      <c r="P278" s="71"/>
      <c r="Q278" s="62"/>
      <c r="R278" s="62"/>
      <c r="S278" s="62"/>
      <c r="T278" s="62"/>
      <c r="U278" s="62"/>
      <c r="V278" s="62"/>
      <c r="W278" s="62"/>
      <c r="X278" s="62"/>
      <c r="Y278" s="62"/>
    </row>
    <row r="279" ht="15.75" customHeight="1">
      <c r="A279" s="63" t="s">
        <v>740</v>
      </c>
      <c r="B279" s="271">
        <v>63000.0</v>
      </c>
      <c r="C279" s="271">
        <v>70000.0</v>
      </c>
      <c r="D279" s="271">
        <v>84000.0</v>
      </c>
      <c r="E279" s="271"/>
      <c r="F279" s="271"/>
      <c r="G279" s="62"/>
      <c r="H279" s="62"/>
      <c r="I279" s="62"/>
      <c r="J279" s="71"/>
      <c r="K279" s="266"/>
      <c r="L279" s="272"/>
      <c r="P279" s="71"/>
      <c r="Q279" s="62"/>
      <c r="R279" s="62"/>
      <c r="S279" s="62"/>
      <c r="T279" s="62"/>
      <c r="U279" s="62"/>
      <c r="V279" s="62"/>
      <c r="W279" s="62"/>
      <c r="X279" s="62"/>
      <c r="Y279" s="62"/>
    </row>
    <row r="280" ht="15.75" customHeight="1">
      <c r="A280" s="63" t="s">
        <v>741</v>
      </c>
      <c r="B280" s="271">
        <v>72000.0</v>
      </c>
      <c r="C280" s="271">
        <v>80000.0</v>
      </c>
      <c r="D280" s="271">
        <v>96000.0</v>
      </c>
      <c r="E280" s="271"/>
      <c r="F280" s="271"/>
      <c r="G280" s="62"/>
      <c r="H280" s="62"/>
      <c r="I280" s="62"/>
      <c r="J280" s="71"/>
      <c r="K280" s="272"/>
      <c r="L280" s="74"/>
      <c r="M280" s="74"/>
      <c r="N280" s="74"/>
      <c r="O280" s="74"/>
      <c r="P280" s="71"/>
      <c r="Q280" s="62"/>
      <c r="R280" s="62"/>
      <c r="S280" s="62"/>
      <c r="T280" s="62"/>
      <c r="U280" s="62"/>
      <c r="V280" s="62"/>
      <c r="W280" s="62"/>
      <c r="X280" s="62"/>
      <c r="Y280" s="62"/>
    </row>
    <row r="281" ht="15.75" customHeight="1">
      <c r="A281" s="63" t="s">
        <v>742</v>
      </c>
      <c r="B281" s="271">
        <v>81000.0</v>
      </c>
      <c r="C281" s="271">
        <v>90000.0</v>
      </c>
      <c r="D281" s="271">
        <v>108000.0</v>
      </c>
      <c r="E281" s="271"/>
      <c r="F281" s="271"/>
      <c r="G281" s="62"/>
      <c r="H281" s="62"/>
      <c r="I281" s="62"/>
      <c r="J281" s="71"/>
      <c r="K281" s="74"/>
      <c r="L281" s="273"/>
      <c r="M281" s="273"/>
      <c r="N281" s="273"/>
      <c r="O281" s="266"/>
      <c r="P281" s="71"/>
      <c r="Q281" s="62"/>
      <c r="R281" s="62"/>
      <c r="S281" s="62"/>
      <c r="T281" s="62"/>
      <c r="U281" s="62"/>
      <c r="V281" s="62"/>
      <c r="W281" s="62"/>
      <c r="X281" s="62"/>
      <c r="Y281" s="62"/>
    </row>
    <row r="282" ht="15.75" customHeight="1">
      <c r="A282" s="63" t="s">
        <v>743</v>
      </c>
      <c r="B282" s="255">
        <v>90000.0</v>
      </c>
      <c r="C282" s="255">
        <v>100000.0</v>
      </c>
      <c r="D282" s="255">
        <v>120000.0</v>
      </c>
      <c r="E282" s="255"/>
      <c r="F282" s="255"/>
      <c r="G282" s="62"/>
      <c r="H282" s="62"/>
      <c r="I282" s="62"/>
      <c r="J282" s="71"/>
      <c r="K282" s="74"/>
      <c r="L282" s="273"/>
      <c r="M282" s="273"/>
      <c r="N282" s="273"/>
      <c r="O282" s="266"/>
      <c r="P282" s="71"/>
      <c r="Q282" s="62"/>
      <c r="R282" s="62"/>
      <c r="S282" s="62"/>
      <c r="T282" s="62"/>
      <c r="U282" s="62"/>
      <c r="V282" s="62"/>
      <c r="W282" s="62"/>
      <c r="X282" s="62"/>
      <c r="Y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71"/>
      <c r="K283" s="74"/>
      <c r="L283" s="273"/>
      <c r="M283" s="273"/>
      <c r="N283" s="273"/>
      <c r="O283" s="79"/>
      <c r="P283" s="71"/>
      <c r="Q283" s="62"/>
      <c r="R283" s="62"/>
      <c r="S283" s="62"/>
      <c r="T283" s="62"/>
      <c r="U283" s="62"/>
      <c r="V283" s="62"/>
      <c r="W283" s="62"/>
      <c r="X283" s="62"/>
      <c r="Y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71"/>
      <c r="K284" s="74"/>
      <c r="L284" s="273"/>
      <c r="M284" s="273"/>
      <c r="N284" s="273"/>
      <c r="O284" s="79"/>
      <c r="P284" s="71"/>
      <c r="Q284" s="62"/>
      <c r="R284" s="62"/>
      <c r="S284" s="62"/>
      <c r="T284" s="62"/>
      <c r="U284" s="62"/>
      <c r="V284" s="62"/>
      <c r="W284" s="62"/>
      <c r="X284" s="62"/>
      <c r="Y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71"/>
      <c r="K285" s="74"/>
      <c r="L285" s="273"/>
      <c r="M285" s="273"/>
      <c r="N285" s="273"/>
      <c r="O285" s="79"/>
      <c r="P285" s="71"/>
      <c r="Q285" s="62"/>
      <c r="R285" s="62"/>
      <c r="S285" s="62"/>
      <c r="T285" s="62"/>
      <c r="U285" s="62"/>
      <c r="V285" s="62"/>
      <c r="W285" s="62"/>
      <c r="X285" s="62"/>
      <c r="Y285" s="62"/>
    </row>
    <row r="286" ht="24.75" customHeight="1">
      <c r="A286" s="259" t="s">
        <v>748</v>
      </c>
      <c r="E286" s="62"/>
      <c r="F286" s="62"/>
      <c r="G286" s="62"/>
      <c r="H286" s="62"/>
      <c r="I286" s="62"/>
      <c r="J286" s="71"/>
      <c r="K286" s="74"/>
      <c r="L286" s="273"/>
      <c r="M286" s="273"/>
      <c r="N286" s="273"/>
      <c r="O286" s="79"/>
      <c r="P286" s="71"/>
      <c r="Q286" s="62"/>
      <c r="R286" s="62"/>
      <c r="S286" s="62"/>
      <c r="T286" s="62"/>
      <c r="U286" s="62"/>
      <c r="V286" s="62"/>
      <c r="W286" s="62"/>
      <c r="X286" s="62"/>
      <c r="Y286" s="62"/>
    </row>
    <row r="287" ht="15.75" customHeight="1">
      <c r="A287" s="145" t="s">
        <v>749</v>
      </c>
      <c r="B287" s="8" t="s">
        <v>232</v>
      </c>
      <c r="C287" s="8" t="s">
        <v>233</v>
      </c>
      <c r="D287" s="8" t="s">
        <v>409</v>
      </c>
      <c r="E287" s="62"/>
      <c r="F287" s="62"/>
      <c r="G287" s="62"/>
      <c r="H287" s="62"/>
      <c r="I287" s="62"/>
      <c r="J287" s="71"/>
      <c r="K287" s="74"/>
      <c r="L287" s="273"/>
      <c r="M287" s="273"/>
      <c r="N287" s="273"/>
      <c r="O287" s="79"/>
      <c r="P287" s="71"/>
      <c r="Q287" s="62"/>
      <c r="R287" s="62"/>
      <c r="S287" s="62"/>
      <c r="T287" s="62"/>
      <c r="U287" s="62"/>
      <c r="V287" s="62"/>
      <c r="W287" s="62"/>
      <c r="X287" s="62"/>
      <c r="Y287" s="62"/>
    </row>
    <row r="288" ht="15.75" customHeight="1">
      <c r="A288" s="7" t="s">
        <v>750</v>
      </c>
      <c r="B288" s="138">
        <v>6000.0</v>
      </c>
      <c r="C288" s="137">
        <v>11000.0</v>
      </c>
      <c r="D288" s="137">
        <v>32000.0</v>
      </c>
      <c r="E288" s="62"/>
      <c r="F288" s="62"/>
      <c r="G288" s="62"/>
      <c r="H288" s="62"/>
      <c r="I288" s="62"/>
      <c r="J288" s="71"/>
      <c r="K288" s="74"/>
      <c r="L288" s="273"/>
      <c r="M288" s="273"/>
      <c r="N288" s="273"/>
      <c r="O288" s="79"/>
      <c r="P288" s="71"/>
      <c r="Q288" s="62"/>
      <c r="R288" s="62"/>
      <c r="S288" s="62"/>
      <c r="T288" s="62"/>
      <c r="U288" s="62"/>
      <c r="V288" s="62"/>
      <c r="W288" s="62"/>
      <c r="X288" s="62"/>
      <c r="Y288" s="62"/>
    </row>
    <row r="289" ht="15.75" customHeight="1">
      <c r="A289" s="7" t="s">
        <v>751</v>
      </c>
      <c r="B289" s="137">
        <v>8000.0</v>
      </c>
      <c r="C289" s="137">
        <v>16000.0</v>
      </c>
      <c r="D289" s="137">
        <v>32000.0</v>
      </c>
      <c r="E289" s="62"/>
      <c r="F289" s="62"/>
      <c r="G289" s="62"/>
      <c r="H289" s="62"/>
      <c r="I289" s="62"/>
      <c r="J289" s="71"/>
      <c r="K289" s="74"/>
      <c r="L289" s="273"/>
      <c r="M289" s="273"/>
      <c r="N289" s="273"/>
      <c r="O289" s="79"/>
      <c r="P289" s="71"/>
      <c r="Q289" s="62"/>
      <c r="R289" s="62"/>
      <c r="S289" s="62"/>
      <c r="T289" s="62"/>
      <c r="U289" s="62"/>
      <c r="V289" s="62"/>
      <c r="W289" s="62"/>
      <c r="X289" s="62"/>
      <c r="Y289" s="62"/>
    </row>
    <row r="290" ht="15.75" customHeight="1">
      <c r="A290" s="62"/>
      <c r="B290" s="62"/>
      <c r="C290" s="62"/>
      <c r="D290" s="62"/>
      <c r="E290" s="62"/>
      <c r="F290" s="62"/>
      <c r="G290" s="71"/>
      <c r="H290" s="71"/>
      <c r="I290" s="71"/>
      <c r="J290" s="71"/>
      <c r="K290" s="74"/>
      <c r="L290" s="273"/>
      <c r="M290" s="273"/>
      <c r="N290" s="273"/>
      <c r="O290" s="79"/>
      <c r="P290" s="71"/>
      <c r="Q290" s="62"/>
      <c r="R290" s="62"/>
      <c r="S290" s="62"/>
      <c r="T290" s="62"/>
      <c r="U290" s="62"/>
      <c r="V290" s="62"/>
      <c r="W290" s="62"/>
      <c r="X290" s="62"/>
      <c r="Y290" s="62"/>
    </row>
    <row r="291" ht="15.75" customHeight="1">
      <c r="A291" s="62"/>
      <c r="B291" s="62"/>
      <c r="C291" s="62"/>
      <c r="D291" s="62"/>
      <c r="E291" s="62"/>
      <c r="F291" s="62"/>
      <c r="G291" s="71"/>
      <c r="H291" s="71"/>
      <c r="I291" s="71"/>
      <c r="J291" s="71"/>
      <c r="K291" s="74"/>
      <c r="L291" s="273"/>
      <c r="M291" s="273"/>
      <c r="N291" s="273"/>
      <c r="O291" s="79"/>
      <c r="P291" s="71"/>
      <c r="Q291" s="62"/>
      <c r="R291" s="62"/>
      <c r="S291" s="62"/>
      <c r="T291" s="62"/>
      <c r="U291" s="62"/>
      <c r="V291" s="62"/>
      <c r="W291" s="62"/>
      <c r="X291" s="62"/>
      <c r="Y291" s="62"/>
    </row>
    <row r="292" ht="15.75" customHeight="1">
      <c r="A292" s="62"/>
      <c r="B292" s="62"/>
      <c r="C292" s="62"/>
      <c r="D292" s="62"/>
      <c r="E292" s="62"/>
      <c r="F292" s="62"/>
      <c r="G292" s="85"/>
      <c r="H292" s="85"/>
      <c r="I292" s="85"/>
      <c r="J292" s="85"/>
      <c r="K292" s="74"/>
      <c r="L292" s="273"/>
      <c r="M292" s="273"/>
      <c r="N292" s="273"/>
      <c r="O292" s="79"/>
      <c r="P292" s="71"/>
      <c r="Q292" s="62"/>
      <c r="R292" s="62"/>
      <c r="S292" s="62"/>
      <c r="T292" s="62"/>
      <c r="U292" s="62"/>
      <c r="V292" s="62"/>
      <c r="W292" s="62"/>
      <c r="X292" s="62"/>
      <c r="Y292" s="62"/>
    </row>
    <row r="293" ht="21.0" customHeight="1">
      <c r="A293" s="259" t="s">
        <v>752</v>
      </c>
      <c r="F293" s="62"/>
      <c r="G293" s="85"/>
      <c r="H293" s="74"/>
      <c r="I293" s="74"/>
      <c r="J293" s="74"/>
      <c r="K293" s="85"/>
      <c r="L293" s="273"/>
      <c r="M293" s="273"/>
      <c r="N293" s="273"/>
      <c r="O293" s="79"/>
      <c r="P293" s="71"/>
      <c r="Q293" s="62"/>
      <c r="R293" s="62"/>
      <c r="S293" s="62"/>
      <c r="T293" s="62"/>
      <c r="U293" s="62"/>
      <c r="V293" s="62"/>
      <c r="W293" s="62"/>
      <c r="X293" s="62"/>
      <c r="Y293" s="62"/>
    </row>
    <row r="294" ht="19.5" customHeight="1">
      <c r="A294" s="145" t="s">
        <v>749</v>
      </c>
      <c r="B294" s="8" t="s">
        <v>753</v>
      </c>
      <c r="C294" s="8" t="s">
        <v>754</v>
      </c>
      <c r="D294" s="8" t="s">
        <v>755</v>
      </c>
      <c r="E294" s="8" t="s">
        <v>756</v>
      </c>
      <c r="F294" s="6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62"/>
      <c r="R294" s="62"/>
      <c r="S294" s="62"/>
      <c r="T294" s="62"/>
      <c r="U294" s="62"/>
      <c r="V294" s="62"/>
      <c r="W294" s="62"/>
      <c r="X294" s="62"/>
      <c r="Y294" s="62"/>
    </row>
    <row r="295" ht="15.75" customHeight="1">
      <c r="A295" s="7" t="s">
        <v>757</v>
      </c>
      <c r="B295" s="137">
        <v>9000.0</v>
      </c>
      <c r="C295" s="137">
        <v>14000.0</v>
      </c>
      <c r="D295" s="137">
        <v>32000.0</v>
      </c>
      <c r="E295" s="137">
        <v>37000.0</v>
      </c>
      <c r="F295" s="6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62"/>
      <c r="R295" s="62"/>
      <c r="S295" s="62"/>
      <c r="T295" s="62"/>
      <c r="U295" s="62"/>
      <c r="V295" s="62"/>
      <c r="W295" s="62"/>
      <c r="X295" s="62"/>
      <c r="Y295" s="62"/>
    </row>
    <row r="296" ht="15.75" customHeight="1">
      <c r="A296" s="7" t="s">
        <v>758</v>
      </c>
      <c r="B296" s="137">
        <v>11000.0</v>
      </c>
      <c r="C296" s="137">
        <v>18000.0</v>
      </c>
      <c r="D296" s="137">
        <v>29000.0</v>
      </c>
      <c r="E296" s="137">
        <v>50000.0</v>
      </c>
      <c r="F296" s="6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62"/>
      <c r="R296" s="62"/>
      <c r="S296" s="62"/>
      <c r="T296" s="62"/>
      <c r="U296" s="62"/>
      <c r="V296" s="62"/>
      <c r="W296" s="62"/>
      <c r="X296" s="62"/>
      <c r="Y296" s="62"/>
    </row>
    <row r="297" ht="15.75" customHeight="1">
      <c r="A297" s="62"/>
      <c r="B297" s="62"/>
      <c r="C297" s="62"/>
      <c r="D297" s="62"/>
      <c r="E297" s="62"/>
      <c r="F297" s="62"/>
      <c r="G297" s="85"/>
      <c r="H297" s="85"/>
      <c r="I297" s="85"/>
      <c r="J297" s="85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 ht="15.75" customHeight="1">
      <c r="A298" s="62"/>
      <c r="B298" s="62"/>
      <c r="C298" s="62"/>
      <c r="D298" s="62"/>
      <c r="E298" s="62"/>
      <c r="F298" s="62"/>
      <c r="G298" s="78"/>
      <c r="H298" s="85"/>
      <c r="I298" s="85"/>
      <c r="J298" s="85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 ht="15.75" customHeight="1">
      <c r="A299" s="62"/>
      <c r="B299" s="62"/>
      <c r="C299" s="62"/>
      <c r="D299" s="62"/>
      <c r="E299" s="62"/>
      <c r="F299" s="62"/>
      <c r="G299" s="85"/>
      <c r="H299" s="74"/>
      <c r="I299" s="74"/>
      <c r="J299" s="74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 ht="23.25" customHeight="1">
      <c r="A300" s="259" t="s">
        <v>759</v>
      </c>
      <c r="E300" s="250" t="s">
        <v>760</v>
      </c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 ht="15.75" customHeight="1">
      <c r="A301" s="145" t="s">
        <v>685</v>
      </c>
      <c r="B301" s="8" t="s">
        <v>230</v>
      </c>
      <c r="C301" s="8" t="s">
        <v>232</v>
      </c>
      <c r="D301" s="8" t="s">
        <v>233</v>
      </c>
      <c r="E301" s="9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 ht="18.0" customHeight="1">
      <c r="A302" s="7">
        <v>4.0</v>
      </c>
      <c r="B302" s="137">
        <v>3500.0</v>
      </c>
      <c r="C302" s="137">
        <v>4500.0</v>
      </c>
      <c r="D302" s="137">
        <v>6500.0</v>
      </c>
      <c r="E302" s="147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 ht="15.75" customHeight="1">
      <c r="A303" s="7">
        <v>19.0</v>
      </c>
      <c r="B303" s="137">
        <v>3400.0</v>
      </c>
      <c r="C303" s="137">
        <v>4300.0</v>
      </c>
      <c r="D303" s="137">
        <v>6200.0</v>
      </c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 ht="15.75" customHeight="1">
      <c r="A304" s="7">
        <v>49.0</v>
      </c>
      <c r="B304" s="137">
        <v>3300.0</v>
      </c>
      <c r="C304" s="137">
        <v>4200.0</v>
      </c>
      <c r="D304" s="137">
        <v>6100.0</v>
      </c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 ht="15.75" customHeight="1">
      <c r="A305" s="7">
        <v>99.0</v>
      </c>
      <c r="B305" s="137">
        <v>3100.0</v>
      </c>
      <c r="C305" s="137">
        <v>4000.0</v>
      </c>
      <c r="D305" s="137">
        <v>5900.0</v>
      </c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 ht="15.75" customHeight="1">
      <c r="A306" s="7">
        <v>10000.0</v>
      </c>
      <c r="B306" s="137">
        <v>2900.0</v>
      </c>
      <c r="C306" s="137">
        <v>3800.0</v>
      </c>
      <c r="D306" s="137">
        <v>5500.0</v>
      </c>
      <c r="E306" s="62"/>
      <c r="F306" s="62"/>
      <c r="G306" s="62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62"/>
      <c r="U306" s="62"/>
      <c r="V306" s="62"/>
      <c r="W306" s="62"/>
      <c r="X306" s="62"/>
      <c r="Y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62"/>
      <c r="U307" s="62"/>
      <c r="V307" s="62"/>
      <c r="W307" s="62"/>
      <c r="X307" s="62"/>
      <c r="Y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71"/>
      <c r="I308" s="71"/>
      <c r="J308" s="71"/>
      <c r="K308" s="71"/>
      <c r="L308" s="79"/>
      <c r="M308" s="79"/>
      <c r="N308" s="79"/>
      <c r="O308" s="79"/>
      <c r="P308" s="79"/>
      <c r="Q308" s="79"/>
      <c r="R308" s="79"/>
      <c r="S308" s="79"/>
      <c r="T308" s="62"/>
      <c r="U308" s="62"/>
      <c r="V308" s="62"/>
      <c r="W308" s="62"/>
      <c r="X308" s="62"/>
      <c r="Y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71"/>
      <c r="I309" s="71"/>
      <c r="J309" s="71"/>
      <c r="K309" s="71"/>
      <c r="L309" s="85"/>
      <c r="M309" s="85"/>
      <c r="N309" s="85"/>
      <c r="O309" s="85"/>
      <c r="P309" s="79"/>
      <c r="Q309" s="79"/>
      <c r="R309" s="79"/>
      <c r="S309" s="79"/>
      <c r="T309" s="62"/>
      <c r="U309" s="62"/>
      <c r="V309" s="62"/>
      <c r="W309" s="62"/>
      <c r="X309" s="62"/>
      <c r="Y309" s="62"/>
    </row>
    <row r="310" ht="24.0" customHeight="1">
      <c r="A310" s="259" t="s">
        <v>761</v>
      </c>
      <c r="D310" s="250" t="s">
        <v>762</v>
      </c>
      <c r="E310" s="62"/>
      <c r="F310" s="62"/>
      <c r="G310" s="62"/>
      <c r="H310" s="71"/>
      <c r="I310" s="71"/>
      <c r="J310" s="85"/>
      <c r="K310" s="85"/>
      <c r="L310" s="78"/>
      <c r="M310" s="85"/>
      <c r="N310" s="85"/>
      <c r="O310" s="85"/>
      <c r="P310" s="79"/>
      <c r="Q310" s="79"/>
      <c r="R310" s="79"/>
      <c r="S310" s="79"/>
      <c r="T310" s="62"/>
      <c r="U310" s="62"/>
      <c r="V310" s="62"/>
      <c r="W310" s="62"/>
      <c r="X310" s="62"/>
      <c r="Y310" s="62"/>
    </row>
    <row r="311" ht="15.75" customHeight="1">
      <c r="A311" s="145" t="s">
        <v>685</v>
      </c>
      <c r="B311" s="8" t="s">
        <v>763</v>
      </c>
      <c r="C311" s="8" t="s">
        <v>764</v>
      </c>
      <c r="D311" s="8"/>
      <c r="E311" s="62"/>
      <c r="F311" s="62"/>
      <c r="G311" s="62"/>
      <c r="H311" s="71"/>
      <c r="I311" s="71"/>
      <c r="J311" s="78"/>
      <c r="K311" s="85"/>
      <c r="L311" s="266"/>
      <c r="M311" s="74"/>
      <c r="N311" s="274"/>
      <c r="O311" s="274"/>
      <c r="P311" s="79"/>
      <c r="Q311" s="79"/>
      <c r="R311" s="79"/>
      <c r="S311" s="79"/>
      <c r="T311" s="62"/>
      <c r="U311" s="62"/>
      <c r="V311" s="62"/>
      <c r="W311" s="62"/>
      <c r="X311" s="62"/>
      <c r="Y311" s="62"/>
    </row>
    <row r="312" ht="15.75" customHeight="1">
      <c r="A312" s="7">
        <v>4.0</v>
      </c>
      <c r="B312" s="137">
        <v>6500.0</v>
      </c>
      <c r="C312" s="137">
        <v>6500.0</v>
      </c>
      <c r="D312" s="137"/>
      <c r="E312" s="62"/>
      <c r="F312" s="62"/>
      <c r="G312" s="62"/>
      <c r="H312" s="71"/>
      <c r="I312" s="71"/>
      <c r="J312" s="85"/>
      <c r="K312" s="74"/>
      <c r="L312" s="266"/>
      <c r="M312" s="74"/>
      <c r="N312" s="274"/>
      <c r="O312" s="274"/>
      <c r="P312" s="79"/>
      <c r="Q312" s="79"/>
      <c r="R312" s="79"/>
      <c r="S312" s="79"/>
      <c r="T312" s="62"/>
      <c r="U312" s="62"/>
      <c r="V312" s="62"/>
      <c r="W312" s="62"/>
      <c r="X312" s="62"/>
      <c r="Y312" s="62"/>
    </row>
    <row r="313" ht="15.75" customHeight="1">
      <c r="A313" s="7">
        <v>19.0</v>
      </c>
      <c r="B313" s="137">
        <v>4900.0</v>
      </c>
      <c r="C313" s="137">
        <v>4900.0</v>
      </c>
      <c r="D313" s="137"/>
      <c r="E313" s="62"/>
      <c r="F313" s="62"/>
      <c r="G313" s="62"/>
      <c r="H313" s="71"/>
      <c r="I313" s="71"/>
      <c r="J313" s="79"/>
      <c r="K313" s="79"/>
      <c r="L313" s="266"/>
      <c r="M313" s="74"/>
      <c r="N313" s="274"/>
      <c r="O313" s="274"/>
      <c r="P313" s="79"/>
      <c r="Q313" s="79"/>
      <c r="R313" s="79"/>
      <c r="S313" s="79"/>
      <c r="T313" s="62"/>
      <c r="U313" s="62"/>
      <c r="V313" s="62"/>
      <c r="W313" s="62"/>
      <c r="X313" s="62"/>
      <c r="Y313" s="62"/>
    </row>
    <row r="314" ht="15.75" customHeight="1">
      <c r="A314" s="7">
        <v>49.0</v>
      </c>
      <c r="B314" s="137">
        <v>4200.0</v>
      </c>
      <c r="C314" s="137">
        <v>4200.0</v>
      </c>
      <c r="D314" s="137"/>
      <c r="E314" s="62"/>
      <c r="F314" s="62"/>
      <c r="G314" s="62"/>
      <c r="H314" s="71"/>
      <c r="I314" s="71"/>
      <c r="J314" s="79"/>
      <c r="K314" s="79"/>
      <c r="L314" s="266"/>
      <c r="M314" s="74"/>
      <c r="N314" s="274"/>
      <c r="O314" s="274"/>
      <c r="P314" s="79"/>
      <c r="Q314" s="79"/>
      <c r="R314" s="79"/>
      <c r="S314" s="79"/>
      <c r="T314" s="62"/>
      <c r="U314" s="62"/>
      <c r="V314" s="62"/>
      <c r="W314" s="62"/>
      <c r="X314" s="62"/>
      <c r="Y314" s="62"/>
    </row>
    <row r="315" ht="15.75" customHeight="1">
      <c r="A315" s="7">
        <v>99.0</v>
      </c>
      <c r="B315" s="137">
        <v>3500.0</v>
      </c>
      <c r="C315" s="137">
        <v>3500.0</v>
      </c>
      <c r="D315" s="137"/>
      <c r="E315" s="62"/>
      <c r="F315" s="62"/>
      <c r="G315" s="62"/>
      <c r="H315" s="71"/>
      <c r="I315" s="71"/>
      <c r="J315" s="79"/>
      <c r="K315" s="79"/>
      <c r="L315" s="266"/>
      <c r="M315" s="74"/>
      <c r="N315" s="274"/>
      <c r="O315" s="274"/>
      <c r="P315" s="79"/>
      <c r="Q315" s="79"/>
      <c r="R315" s="79"/>
      <c r="S315" s="79"/>
      <c r="T315" s="62"/>
      <c r="U315" s="62"/>
      <c r="V315" s="62"/>
      <c r="W315" s="62"/>
      <c r="X315" s="62"/>
      <c r="Y315" s="62"/>
    </row>
    <row r="316" ht="15.75" customHeight="1">
      <c r="A316" s="7">
        <v>10000.0</v>
      </c>
      <c r="B316" s="137">
        <v>2800.0</v>
      </c>
      <c r="C316" s="137">
        <v>2800.0</v>
      </c>
      <c r="D316" s="137"/>
      <c r="E316" s="62"/>
      <c r="F316" s="62"/>
      <c r="G316" s="62"/>
      <c r="H316" s="71"/>
      <c r="I316" s="71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62"/>
      <c r="U316" s="62"/>
      <c r="V316" s="62"/>
      <c r="W316" s="62"/>
      <c r="X316" s="62"/>
      <c r="Y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71"/>
      <c r="I317" s="71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62"/>
      <c r="U317" s="62"/>
      <c r="V317" s="62"/>
      <c r="W317" s="62"/>
      <c r="X317" s="62"/>
      <c r="Y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71"/>
      <c r="I318" s="71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62"/>
      <c r="U318" s="62"/>
      <c r="V318" s="62"/>
      <c r="W318" s="62"/>
      <c r="X318" s="62"/>
      <c r="Y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71"/>
      <c r="I319" s="71"/>
      <c r="J319" s="79"/>
      <c r="K319" s="79"/>
      <c r="L319" s="85"/>
      <c r="M319" s="85"/>
      <c r="N319" s="85"/>
      <c r="O319" s="85"/>
      <c r="P319" s="85"/>
      <c r="Q319" s="85"/>
      <c r="R319" s="79"/>
      <c r="S319" s="79"/>
      <c r="T319" s="62"/>
      <c r="U319" s="62"/>
      <c r="V319" s="62"/>
      <c r="W319" s="62"/>
      <c r="X319" s="62"/>
      <c r="Y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71"/>
      <c r="I320" s="71"/>
      <c r="J320" s="85"/>
      <c r="K320" s="77"/>
      <c r="L320" s="78"/>
      <c r="M320" s="79"/>
      <c r="N320" s="85"/>
      <c r="O320" s="85"/>
      <c r="P320" s="85"/>
      <c r="Q320" s="85"/>
      <c r="R320" s="79"/>
      <c r="S320" s="79"/>
      <c r="T320" s="62"/>
      <c r="U320" s="62"/>
      <c r="V320" s="62"/>
      <c r="W320" s="62"/>
      <c r="X320" s="62"/>
      <c r="Y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71"/>
      <c r="I321" s="71"/>
      <c r="J321" s="78"/>
      <c r="K321" s="85"/>
      <c r="L321" s="266"/>
      <c r="M321" s="275"/>
      <c r="N321" s="266"/>
      <c r="O321" s="266"/>
      <c r="P321" s="74"/>
      <c r="Q321" s="74"/>
      <c r="R321" s="79"/>
      <c r="S321" s="276"/>
      <c r="T321" s="62"/>
      <c r="U321" s="62"/>
      <c r="V321" s="62"/>
      <c r="W321" s="62"/>
      <c r="X321" s="62"/>
      <c r="Y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71"/>
      <c r="I322" s="71"/>
      <c r="J322" s="85"/>
      <c r="K322" s="74"/>
      <c r="L322" s="266"/>
      <c r="M322" s="275"/>
      <c r="N322" s="266"/>
      <c r="O322" s="266"/>
      <c r="P322" s="266"/>
      <c r="Q322" s="74"/>
      <c r="R322" s="79"/>
      <c r="S322" s="79"/>
      <c r="T322" s="62"/>
      <c r="U322" s="62"/>
      <c r="V322" s="62"/>
      <c r="W322" s="62"/>
      <c r="X322" s="62"/>
      <c r="Y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71"/>
      <c r="I323" s="71"/>
      <c r="J323" s="71"/>
      <c r="K323" s="71"/>
      <c r="L323" s="266"/>
      <c r="M323" s="275"/>
      <c r="N323" s="266"/>
      <c r="O323" s="266"/>
      <c r="P323" s="266"/>
      <c r="Q323" s="74"/>
      <c r="R323" s="79"/>
      <c r="S323" s="79"/>
      <c r="T323" s="62"/>
      <c r="U323" s="62"/>
      <c r="V323" s="62"/>
      <c r="W323" s="62"/>
      <c r="X323" s="62"/>
      <c r="Y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71"/>
      <c r="I324" s="71"/>
      <c r="J324" s="71"/>
      <c r="K324" s="71"/>
      <c r="L324" s="266"/>
      <c r="M324" s="275"/>
      <c r="N324" s="266"/>
      <c r="O324" s="266"/>
      <c r="P324" s="266"/>
      <c r="Q324" s="74"/>
      <c r="R324" s="79"/>
      <c r="S324" s="79"/>
      <c r="T324" s="62"/>
      <c r="U324" s="62"/>
      <c r="V324" s="62"/>
      <c r="W324" s="62"/>
      <c r="X324" s="62"/>
      <c r="Y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71"/>
      <c r="I325" s="71"/>
      <c r="J325" s="71"/>
      <c r="K325" s="71"/>
      <c r="L325" s="266"/>
      <c r="M325" s="275"/>
      <c r="N325" s="266"/>
      <c r="O325" s="266"/>
      <c r="P325" s="266"/>
      <c r="Q325" s="74"/>
      <c r="R325" s="79"/>
      <c r="S325" s="79"/>
      <c r="T325" s="62"/>
      <c r="U325" s="62"/>
      <c r="V325" s="62"/>
      <c r="W325" s="62"/>
      <c r="X325" s="62"/>
      <c r="Y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71"/>
      <c r="K326" s="71"/>
      <c r="L326" s="79"/>
      <c r="M326" s="79"/>
      <c r="N326" s="79"/>
      <c r="O326" s="79"/>
      <c r="P326" s="79"/>
      <c r="Q326" s="79"/>
      <c r="R326" s="79"/>
      <c r="S326" s="79"/>
      <c r="T326" s="62"/>
      <c r="U326" s="62"/>
      <c r="V326" s="62"/>
      <c r="W326" s="62"/>
      <c r="X326" s="62"/>
      <c r="Y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71"/>
      <c r="K327" s="71"/>
      <c r="L327" s="79"/>
      <c r="M327" s="79"/>
      <c r="N327" s="79"/>
      <c r="O327" s="79"/>
      <c r="P327" s="79"/>
      <c r="Q327" s="79"/>
      <c r="R327" s="79"/>
      <c r="S327" s="79"/>
      <c r="T327" s="62"/>
      <c r="U327" s="62"/>
      <c r="V327" s="62"/>
      <c r="W327" s="62"/>
      <c r="X327" s="62"/>
      <c r="Y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71"/>
      <c r="K328" s="71"/>
      <c r="L328" s="79"/>
      <c r="M328" s="79"/>
      <c r="N328" s="79"/>
      <c r="O328" s="79"/>
      <c r="P328" s="79"/>
      <c r="Q328" s="79"/>
      <c r="R328" s="79"/>
      <c r="S328" s="79"/>
      <c r="T328" s="62"/>
      <c r="U328" s="62"/>
      <c r="V328" s="62"/>
      <c r="W328" s="62"/>
      <c r="X328" s="62"/>
      <c r="Y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71"/>
      <c r="K329" s="71"/>
      <c r="L329" s="85"/>
      <c r="M329" s="85"/>
      <c r="N329" s="85"/>
      <c r="O329" s="85"/>
      <c r="P329" s="85"/>
      <c r="Q329" s="85"/>
      <c r="R329" s="79"/>
      <c r="S329" s="79"/>
      <c r="T329" s="62"/>
      <c r="U329" s="62"/>
      <c r="V329" s="62"/>
      <c r="W329" s="62"/>
      <c r="X329" s="62"/>
      <c r="Y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71"/>
      <c r="K330" s="71"/>
      <c r="L330" s="78"/>
      <c r="M330" s="79"/>
      <c r="N330" s="85"/>
      <c r="O330" s="85"/>
      <c r="P330" s="85"/>
      <c r="Q330" s="85"/>
      <c r="R330" s="79"/>
      <c r="S330" s="79"/>
      <c r="T330" s="62"/>
      <c r="U330" s="62"/>
      <c r="V330" s="62"/>
      <c r="W330" s="62"/>
      <c r="X330" s="62"/>
      <c r="Y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71"/>
      <c r="K331" s="71"/>
      <c r="L331" s="266"/>
      <c r="M331" s="275"/>
      <c r="N331" s="266"/>
      <c r="O331" s="266"/>
      <c r="P331" s="74"/>
      <c r="Q331" s="74"/>
      <c r="R331" s="79"/>
      <c r="S331" s="276"/>
      <c r="T331" s="62"/>
      <c r="U331" s="62"/>
      <c r="V331" s="62"/>
      <c r="W331" s="62"/>
      <c r="X331" s="62"/>
      <c r="Y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71"/>
      <c r="K332" s="71"/>
      <c r="L332" s="266"/>
      <c r="M332" s="275"/>
      <c r="N332" s="266"/>
      <c r="O332" s="266"/>
      <c r="P332" s="266"/>
      <c r="Q332" s="74"/>
      <c r="R332" s="79"/>
      <c r="S332" s="79"/>
      <c r="T332" s="62"/>
      <c r="U332" s="62"/>
      <c r="V332" s="62"/>
      <c r="W332" s="62"/>
      <c r="X332" s="62"/>
      <c r="Y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71"/>
      <c r="K333" s="71"/>
      <c r="L333" s="266"/>
      <c r="M333" s="275"/>
      <c r="N333" s="266"/>
      <c r="O333" s="266"/>
      <c r="P333" s="266"/>
      <c r="Q333" s="74"/>
      <c r="R333" s="79"/>
      <c r="S333" s="79"/>
      <c r="T333" s="62"/>
      <c r="U333" s="62"/>
      <c r="V333" s="62"/>
      <c r="W333" s="62"/>
      <c r="X333" s="62"/>
      <c r="Y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71"/>
      <c r="K334" s="71"/>
      <c r="L334" s="266"/>
      <c r="M334" s="275"/>
      <c r="N334" s="266"/>
      <c r="O334" s="266"/>
      <c r="P334" s="266"/>
      <c r="Q334" s="74"/>
      <c r="R334" s="79"/>
      <c r="S334" s="79"/>
      <c r="T334" s="62"/>
      <c r="U334" s="62"/>
      <c r="V334" s="62"/>
      <c r="W334" s="62"/>
      <c r="X334" s="62"/>
      <c r="Y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71"/>
      <c r="K335" s="71"/>
      <c r="L335" s="266"/>
      <c r="M335" s="275"/>
      <c r="N335" s="266"/>
      <c r="O335" s="266"/>
      <c r="P335" s="266"/>
      <c r="Q335" s="74"/>
      <c r="R335" s="79"/>
      <c r="S335" s="79"/>
      <c r="T335" s="62"/>
      <c r="U335" s="62"/>
      <c r="V335" s="62"/>
      <c r="W335" s="62"/>
      <c r="X335" s="62"/>
      <c r="Y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71"/>
      <c r="K336" s="71"/>
      <c r="L336" s="79"/>
      <c r="M336" s="79"/>
      <c r="N336" s="79"/>
      <c r="O336" s="79"/>
      <c r="P336" s="79"/>
      <c r="Q336" s="79"/>
      <c r="R336" s="79"/>
      <c r="S336" s="79"/>
      <c r="T336" s="62"/>
      <c r="U336" s="62"/>
      <c r="V336" s="62"/>
      <c r="W336" s="62"/>
      <c r="X336" s="62"/>
      <c r="Y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71"/>
      <c r="K337" s="71"/>
      <c r="L337" s="79"/>
      <c r="M337" s="79"/>
      <c r="N337" s="79"/>
      <c r="O337" s="79"/>
      <c r="P337" s="79"/>
      <c r="Q337" s="79"/>
      <c r="R337" s="79"/>
      <c r="S337" s="79"/>
      <c r="T337" s="62"/>
      <c r="U337" s="62"/>
      <c r="V337" s="62"/>
      <c r="W337" s="62"/>
      <c r="X337" s="62"/>
      <c r="Y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71"/>
      <c r="K338" s="71"/>
      <c r="L338" s="79"/>
      <c r="M338" s="79"/>
      <c r="N338" s="79"/>
      <c r="O338" s="79"/>
      <c r="P338" s="79"/>
      <c r="Q338" s="79"/>
      <c r="R338" s="79"/>
      <c r="S338" s="79"/>
      <c r="T338" s="62"/>
      <c r="U338" s="62"/>
      <c r="V338" s="62"/>
      <c r="W338" s="62"/>
      <c r="X338" s="62"/>
      <c r="Y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6">
    <mergeCell ref="A1:E1"/>
    <mergeCell ref="A18:D18"/>
    <mergeCell ref="A35:E35"/>
    <mergeCell ref="A52:E52"/>
    <mergeCell ref="A69:E69"/>
    <mergeCell ref="A86:E86"/>
    <mergeCell ref="A103:E103"/>
    <mergeCell ref="J103:K103"/>
    <mergeCell ref="A120:E120"/>
    <mergeCell ref="A137:E137"/>
    <mergeCell ref="A154:E154"/>
    <mergeCell ref="A171:D171"/>
    <mergeCell ref="A188:D188"/>
    <mergeCell ref="A194:D194"/>
    <mergeCell ref="A200:D200"/>
    <mergeCell ref="A205:G205"/>
    <mergeCell ref="A210:F210"/>
    <mergeCell ref="J210:K210"/>
    <mergeCell ref="A216:D216"/>
    <mergeCell ref="J216:M216"/>
    <mergeCell ref="A223:D223"/>
    <mergeCell ref="J223:M223"/>
    <mergeCell ref="J265:K265"/>
    <mergeCell ref="M265:N265"/>
    <mergeCell ref="L279:O279"/>
    <mergeCell ref="A286:D286"/>
    <mergeCell ref="A293:E293"/>
    <mergeCell ref="A300:D300"/>
    <mergeCell ref="A310:C310"/>
    <mergeCell ref="A229:B229"/>
    <mergeCell ref="J229:K229"/>
    <mergeCell ref="A238:B238"/>
    <mergeCell ref="A244:F244"/>
    <mergeCell ref="J244:K244"/>
    <mergeCell ref="M244:N244"/>
    <mergeCell ref="A265:D26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3" width="18.5"/>
    <col customWidth="1" min="4" max="5" width="12.63"/>
    <col customWidth="1" min="6" max="8" width="10.5"/>
    <col customWidth="1" min="9" max="9" width="8.25"/>
    <col customWidth="1" min="10" max="10" width="8.38"/>
    <col customWidth="1" hidden="1" min="12" max="12" width="9.75"/>
    <col customWidth="1" min="13" max="16" width="9.75"/>
  </cols>
  <sheetData>
    <row r="1" ht="24.75" customHeight="1">
      <c r="A1" s="199" t="s">
        <v>765</v>
      </c>
      <c r="C1" s="250" t="s">
        <v>766</v>
      </c>
    </row>
    <row r="2" ht="15.75" customHeight="1">
      <c r="A2" s="6" t="s">
        <v>582</v>
      </c>
      <c r="B2" s="6" t="s">
        <v>583</v>
      </c>
    </row>
    <row r="3" ht="15.75" customHeight="1">
      <c r="A3" s="6" t="s">
        <v>584</v>
      </c>
      <c r="B3" s="240">
        <v>0.0</v>
      </c>
    </row>
    <row r="4" ht="15.75" customHeight="1">
      <c r="A4" s="6" t="s">
        <v>585</v>
      </c>
      <c r="B4" s="240">
        <v>0.05</v>
      </c>
    </row>
    <row r="5" ht="15.75" customHeight="1">
      <c r="A5" s="6" t="s">
        <v>767</v>
      </c>
      <c r="B5" s="240">
        <v>0.1</v>
      </c>
    </row>
    <row r="6" ht="15.75" customHeight="1">
      <c r="A6" s="6" t="s">
        <v>588</v>
      </c>
      <c r="B6" s="240">
        <v>0.15</v>
      </c>
    </row>
    <row r="7" ht="15.75" customHeight="1">
      <c r="A7" s="6" t="s">
        <v>589</v>
      </c>
      <c r="B7" s="240">
        <v>0.2</v>
      </c>
    </row>
    <row r="8" ht="15.75" customHeight="1">
      <c r="A8" s="99"/>
      <c r="B8" s="240"/>
    </row>
    <row r="9" ht="15.75" customHeight="1">
      <c r="A9" s="99"/>
      <c r="B9" s="240"/>
    </row>
    <row r="10" ht="21.0" customHeight="1">
      <c r="A10" s="199" t="s">
        <v>768</v>
      </c>
    </row>
    <row r="11" ht="15.75" customHeight="1">
      <c r="A11" s="40" t="s">
        <v>582</v>
      </c>
      <c r="B11" s="277" t="s">
        <v>583</v>
      </c>
    </row>
    <row r="12" ht="15.75" customHeight="1">
      <c r="A12" s="40" t="s">
        <v>584</v>
      </c>
      <c r="B12" s="278">
        <v>0.0</v>
      </c>
    </row>
    <row r="13" ht="15.75" customHeight="1">
      <c r="A13" s="40" t="s">
        <v>585</v>
      </c>
      <c r="B13" s="278">
        <v>0.05</v>
      </c>
    </row>
    <row r="14" ht="15.75" customHeight="1">
      <c r="A14" s="40" t="s">
        <v>767</v>
      </c>
      <c r="B14" s="278">
        <v>0.1</v>
      </c>
    </row>
    <row r="15" ht="15.75" customHeight="1">
      <c r="A15" s="40" t="s">
        <v>588</v>
      </c>
      <c r="B15" s="278">
        <v>0.15</v>
      </c>
    </row>
    <row r="16" ht="15.75" customHeight="1">
      <c r="A16" s="40" t="s">
        <v>589</v>
      </c>
      <c r="B16" s="278">
        <v>0.2</v>
      </c>
    </row>
    <row r="17" ht="15.75" customHeight="1">
      <c r="A17" s="99"/>
      <c r="B17" s="240"/>
    </row>
    <row r="18" ht="15.75" customHeight="1">
      <c r="A18" s="99"/>
      <c r="B18" s="240"/>
    </row>
    <row r="19" ht="20.25" customHeight="1">
      <c r="A19" s="199" t="s">
        <v>769</v>
      </c>
    </row>
    <row r="20" ht="15.75" customHeight="1">
      <c r="A20" s="6" t="s">
        <v>582</v>
      </c>
      <c r="B20" s="6" t="s">
        <v>583</v>
      </c>
    </row>
    <row r="21" ht="15.75" customHeight="1">
      <c r="A21" s="6" t="s">
        <v>584</v>
      </c>
      <c r="B21" s="240">
        <v>0.0</v>
      </c>
    </row>
    <row r="22" ht="15.75" customHeight="1">
      <c r="A22" s="6" t="s">
        <v>585</v>
      </c>
      <c r="B22" s="240">
        <v>0.05</v>
      </c>
    </row>
    <row r="23" ht="15.75" customHeight="1">
      <c r="A23" s="6" t="s">
        <v>767</v>
      </c>
      <c r="B23" s="240">
        <v>0.1</v>
      </c>
    </row>
    <row r="24" ht="15.75" customHeight="1">
      <c r="A24" s="6" t="s">
        <v>588</v>
      </c>
      <c r="B24" s="240">
        <v>0.15</v>
      </c>
    </row>
    <row r="25" ht="15.75" customHeight="1">
      <c r="A25" s="6" t="s">
        <v>589</v>
      </c>
      <c r="B25" s="240">
        <v>0.2</v>
      </c>
    </row>
    <row r="26" ht="15.75" customHeight="1"/>
    <row r="27" ht="15.75" customHeight="1"/>
    <row r="28" ht="21.0" customHeight="1">
      <c r="A28" s="199" t="s">
        <v>770</v>
      </c>
      <c r="C28" s="279" t="s">
        <v>771</v>
      </c>
    </row>
    <row r="29" ht="15.75" customHeight="1">
      <c r="A29" s="6" t="s">
        <v>582</v>
      </c>
      <c r="B29" s="6" t="s">
        <v>583</v>
      </c>
    </row>
    <row r="30" ht="15.75" customHeight="1">
      <c r="A30" s="6" t="s">
        <v>772</v>
      </c>
      <c r="B30" s="240">
        <v>0.0</v>
      </c>
    </row>
    <row r="31" ht="15.75" customHeight="1">
      <c r="A31" s="6" t="s">
        <v>767</v>
      </c>
      <c r="B31" s="240">
        <v>0.05</v>
      </c>
    </row>
    <row r="32" ht="15.75" customHeight="1">
      <c r="A32" s="6" t="s">
        <v>773</v>
      </c>
      <c r="B32" s="240">
        <v>0.1</v>
      </c>
    </row>
    <row r="33" ht="15.75" customHeight="1"/>
    <row r="34" ht="15.75" customHeight="1"/>
    <row r="35" ht="21.75" customHeight="1">
      <c r="A35" s="199" t="s">
        <v>774</v>
      </c>
      <c r="C35" s="279" t="s">
        <v>775</v>
      </c>
    </row>
    <row r="36" ht="15.0" customHeight="1">
      <c r="A36" s="6" t="s">
        <v>582</v>
      </c>
      <c r="B36" s="6" t="s">
        <v>583</v>
      </c>
    </row>
    <row r="37" ht="15.0" customHeight="1">
      <c r="A37" s="6">
        <v>1.0</v>
      </c>
      <c r="B37" s="240">
        <v>0.0</v>
      </c>
    </row>
    <row r="38" ht="15.0" customHeight="1">
      <c r="A38" s="6" t="s">
        <v>776</v>
      </c>
      <c r="B38" s="240">
        <v>0.1</v>
      </c>
    </row>
    <row r="39" ht="15.0" customHeight="1">
      <c r="A39" s="6" t="s">
        <v>777</v>
      </c>
      <c r="B39" s="240">
        <v>0.15</v>
      </c>
    </row>
    <row r="40" ht="15.0" customHeight="1">
      <c r="A40" s="6" t="s">
        <v>778</v>
      </c>
      <c r="B40" s="240">
        <v>0.2</v>
      </c>
    </row>
    <row r="41" ht="15.0" customHeight="1">
      <c r="A41" s="6" t="s">
        <v>585</v>
      </c>
      <c r="B41" s="240">
        <v>0.25</v>
      </c>
    </row>
    <row r="42" ht="15.0" customHeight="1">
      <c r="A42" s="64" t="s">
        <v>767</v>
      </c>
      <c r="B42" s="240">
        <v>0.3</v>
      </c>
    </row>
    <row r="43" ht="15.75" customHeight="1">
      <c r="A43" s="280" t="s">
        <v>588</v>
      </c>
      <c r="B43" s="240">
        <v>0.4</v>
      </c>
    </row>
    <row r="44" ht="15.75" customHeight="1">
      <c r="A44" s="280" t="s">
        <v>589</v>
      </c>
      <c r="B44" s="240">
        <v>0.5</v>
      </c>
    </row>
    <row r="45" ht="15.75" customHeight="1">
      <c r="U45" s="281"/>
      <c r="V45" s="281"/>
      <c r="W45" s="281"/>
      <c r="X45" s="28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U51" s="281"/>
      <c r="V51" s="281"/>
      <c r="W51" s="281"/>
      <c r="X51" s="28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U58" s="281"/>
      <c r="V58" s="281"/>
      <c r="W58" s="281"/>
      <c r="X58" s="281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U66" s="281"/>
      <c r="V66" s="281"/>
      <c r="W66" s="281"/>
      <c r="X66" s="28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U73" s="281"/>
      <c r="V73" s="281"/>
      <c r="W73" s="281"/>
      <c r="X73" s="28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U80" s="281"/>
      <c r="V80" s="281"/>
      <c r="W80" s="281"/>
      <c r="X80" s="28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U87" s="281"/>
      <c r="V87" s="281"/>
      <c r="W87" s="281"/>
      <c r="X87" s="28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</sheetData>
  <mergeCells count="5">
    <mergeCell ref="A1:B1"/>
    <mergeCell ref="A10:B10"/>
    <mergeCell ref="A19:B19"/>
    <mergeCell ref="A28:B28"/>
    <mergeCell ref="A35:B3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82" t="s">
        <v>779</v>
      </c>
      <c r="B1" s="283"/>
      <c r="C1" s="283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ht="15.75" customHeight="1">
      <c r="A2" s="284" t="s">
        <v>780</v>
      </c>
      <c r="B2" s="285" t="s">
        <v>781</v>
      </c>
      <c r="C2" s="285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</row>
    <row r="3" ht="15.75" customHeight="1">
      <c r="A3" s="286"/>
      <c r="B3" s="287"/>
      <c r="C3" s="28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</row>
    <row r="4" ht="15.75" customHeight="1">
      <c r="A4" s="288">
        <v>1.0</v>
      </c>
      <c r="B4" s="287">
        <v>5000.0</v>
      </c>
      <c r="C4" s="28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 ht="15.75" customHeight="1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</row>
    <row r="6" ht="15.75" customHeight="1">
      <c r="A6" s="289" t="s">
        <v>782</v>
      </c>
    </row>
    <row r="7" ht="15.75" customHeight="1">
      <c r="A7" s="290"/>
      <c r="B7" s="291">
        <v>1.0</v>
      </c>
      <c r="C7" s="290" t="s">
        <v>783</v>
      </c>
      <c r="D7" s="290" t="s">
        <v>784</v>
      </c>
      <c r="E7" s="290" t="s">
        <v>785</v>
      </c>
      <c r="F7" s="290" t="s">
        <v>786</v>
      </c>
      <c r="G7" s="292" t="s">
        <v>787</v>
      </c>
      <c r="H7" s="292" t="s">
        <v>788</v>
      </c>
      <c r="I7" s="292" t="s">
        <v>789</v>
      </c>
      <c r="J7" s="292" t="s">
        <v>790</v>
      </c>
      <c r="K7" s="292" t="s">
        <v>791</v>
      </c>
      <c r="L7" s="292" t="s">
        <v>792</v>
      </c>
      <c r="M7" s="292" t="s">
        <v>793</v>
      </c>
      <c r="N7" s="290" t="s">
        <v>794</v>
      </c>
      <c r="O7" s="290" t="s">
        <v>795</v>
      </c>
      <c r="P7" s="290" t="s">
        <v>179</v>
      </c>
    </row>
    <row r="8" ht="15.75" customHeight="1">
      <c r="A8" s="291">
        <v>1.0</v>
      </c>
      <c r="B8" s="290"/>
      <c r="C8" s="290"/>
      <c r="D8" s="290"/>
      <c r="E8" s="290"/>
      <c r="F8" s="290"/>
      <c r="G8" s="292"/>
      <c r="H8" s="292"/>
      <c r="I8" s="292"/>
      <c r="J8" s="292"/>
      <c r="K8" s="292"/>
      <c r="L8" s="292"/>
      <c r="M8" s="292"/>
      <c r="N8" s="267"/>
      <c r="O8" s="267"/>
      <c r="P8" s="267"/>
    </row>
    <row r="9" ht="15.75" customHeight="1">
      <c r="A9" s="291">
        <v>200.0</v>
      </c>
      <c r="B9" s="290"/>
      <c r="C9" s="293">
        <v>12200.0</v>
      </c>
      <c r="D9" s="294">
        <v>12200.0</v>
      </c>
      <c r="E9" s="294">
        <v>15000.0</v>
      </c>
      <c r="F9" s="294">
        <v>16400.0</v>
      </c>
      <c r="G9" s="294">
        <v>12200.0</v>
      </c>
      <c r="H9" s="294">
        <v>12200.0</v>
      </c>
      <c r="I9" s="294">
        <v>15000.0</v>
      </c>
      <c r="J9" s="294">
        <v>16400.0</v>
      </c>
      <c r="K9" s="294">
        <v>17800.0</v>
      </c>
      <c r="L9" s="294">
        <v>12200.0</v>
      </c>
      <c r="M9" s="294">
        <v>15000.0</v>
      </c>
      <c r="N9" s="294">
        <v>17800.0</v>
      </c>
      <c r="O9" s="294">
        <v>19200.0</v>
      </c>
      <c r="P9" s="294">
        <v>19200.0</v>
      </c>
    </row>
    <row r="10" ht="15.75" customHeight="1">
      <c r="A10" s="291">
        <v>300.0</v>
      </c>
      <c r="B10" s="290"/>
      <c r="C10" s="295">
        <v>14300.0</v>
      </c>
      <c r="D10" s="296">
        <v>14300.0</v>
      </c>
      <c r="E10" s="296">
        <v>18500.0</v>
      </c>
      <c r="F10" s="296">
        <v>20600.0</v>
      </c>
      <c r="G10" s="296">
        <v>14300.0</v>
      </c>
      <c r="H10" s="296">
        <v>14300.0</v>
      </c>
      <c r="I10" s="296">
        <v>18500.0</v>
      </c>
      <c r="J10" s="296">
        <v>20600.0</v>
      </c>
      <c r="K10" s="296">
        <v>22700.0</v>
      </c>
      <c r="L10" s="296">
        <v>14300.0</v>
      </c>
      <c r="M10" s="296">
        <v>18500.0</v>
      </c>
      <c r="N10" s="296">
        <v>22700.0</v>
      </c>
      <c r="O10" s="296">
        <v>24800.0</v>
      </c>
      <c r="P10" s="296">
        <v>24800.0</v>
      </c>
    </row>
    <row r="11" ht="15.75" customHeight="1">
      <c r="A11" s="291">
        <v>400.0</v>
      </c>
      <c r="B11" s="290"/>
      <c r="C11" s="295">
        <v>16400.0</v>
      </c>
      <c r="D11" s="296">
        <v>16400.0</v>
      </c>
      <c r="E11" s="296">
        <v>22000.0</v>
      </c>
      <c r="F11" s="296">
        <v>24800.0</v>
      </c>
      <c r="G11" s="296">
        <v>16400.0</v>
      </c>
      <c r="H11" s="296">
        <v>16400.0</v>
      </c>
      <c r="I11" s="296">
        <v>22000.0</v>
      </c>
      <c r="J11" s="296">
        <v>24800.0</v>
      </c>
      <c r="K11" s="296">
        <v>27600.0</v>
      </c>
      <c r="L11" s="296">
        <v>16400.0</v>
      </c>
      <c r="M11" s="296">
        <v>22000.0</v>
      </c>
      <c r="N11" s="296">
        <v>27600.0</v>
      </c>
      <c r="O11" s="296">
        <v>30400.0</v>
      </c>
      <c r="P11" s="296">
        <v>30400.0</v>
      </c>
    </row>
    <row r="12" ht="15.75" customHeight="1">
      <c r="A12" s="291">
        <v>500.0</v>
      </c>
      <c r="B12" s="290"/>
      <c r="C12" s="295">
        <v>18500.0</v>
      </c>
      <c r="D12" s="296">
        <v>18500.0</v>
      </c>
      <c r="E12" s="296">
        <v>25500.0</v>
      </c>
      <c r="F12" s="296">
        <v>29000.0</v>
      </c>
      <c r="G12" s="296">
        <v>18500.0</v>
      </c>
      <c r="H12" s="296">
        <v>18500.0</v>
      </c>
      <c r="I12" s="296">
        <v>25500.0</v>
      </c>
      <c r="J12" s="296">
        <v>29000.0</v>
      </c>
      <c r="K12" s="296">
        <v>32500.0</v>
      </c>
      <c r="L12" s="296">
        <v>18500.0</v>
      </c>
      <c r="M12" s="296">
        <v>25500.0</v>
      </c>
      <c r="N12" s="296">
        <v>32500.0</v>
      </c>
      <c r="O12" s="296">
        <v>36000.0</v>
      </c>
      <c r="P12" s="296">
        <v>36000.0</v>
      </c>
    </row>
    <row r="13" ht="15.75" customHeight="1">
      <c r="A13" s="291">
        <v>600.0</v>
      </c>
      <c r="B13" s="290"/>
      <c r="C13" s="295">
        <v>20600.0</v>
      </c>
      <c r="D13" s="296">
        <v>20600.0</v>
      </c>
      <c r="E13" s="296">
        <v>29000.0</v>
      </c>
      <c r="F13" s="296">
        <v>33200.0</v>
      </c>
      <c r="G13" s="296">
        <v>20600.0</v>
      </c>
      <c r="H13" s="296">
        <v>20600.0</v>
      </c>
      <c r="I13" s="296">
        <v>29000.0</v>
      </c>
      <c r="J13" s="296">
        <v>33200.0</v>
      </c>
      <c r="K13" s="296">
        <v>37400.0</v>
      </c>
      <c r="L13" s="296">
        <v>20600.0</v>
      </c>
      <c r="M13" s="296">
        <v>29000.0</v>
      </c>
      <c r="N13" s="296">
        <v>37400.0</v>
      </c>
      <c r="O13" s="296">
        <v>41600.0</v>
      </c>
      <c r="P13" s="296">
        <v>41600.0</v>
      </c>
    </row>
    <row r="14" ht="15.75" customHeight="1">
      <c r="A14" s="291">
        <v>700.0</v>
      </c>
      <c r="B14" s="290"/>
      <c r="C14" s="295">
        <v>22700.0</v>
      </c>
      <c r="D14" s="296">
        <v>22700.0</v>
      </c>
      <c r="E14" s="296">
        <v>32500.0</v>
      </c>
      <c r="F14" s="296">
        <v>37400.0</v>
      </c>
      <c r="G14" s="296">
        <v>22700.0</v>
      </c>
      <c r="H14" s="296">
        <v>22700.0</v>
      </c>
      <c r="I14" s="296">
        <v>32500.0</v>
      </c>
      <c r="J14" s="296">
        <v>37400.0</v>
      </c>
      <c r="K14" s="296">
        <v>42300.0</v>
      </c>
      <c r="L14" s="296">
        <v>22700.0</v>
      </c>
      <c r="M14" s="296">
        <v>32500.0</v>
      </c>
      <c r="N14" s="296">
        <v>42300.0</v>
      </c>
      <c r="O14" s="296">
        <v>47200.0</v>
      </c>
      <c r="P14" s="296">
        <v>47200.0</v>
      </c>
    </row>
    <row r="15" ht="15.75" customHeight="1">
      <c r="A15" s="291">
        <v>800.0</v>
      </c>
      <c r="B15" s="290"/>
      <c r="C15" s="295">
        <v>24800.0</v>
      </c>
      <c r="D15" s="296">
        <v>24800.0</v>
      </c>
      <c r="E15" s="296">
        <v>36000.0</v>
      </c>
      <c r="F15" s="296">
        <v>41600.0</v>
      </c>
      <c r="G15" s="296">
        <v>24800.0</v>
      </c>
      <c r="H15" s="296">
        <v>24800.0</v>
      </c>
      <c r="I15" s="296">
        <v>36000.0</v>
      </c>
      <c r="J15" s="296">
        <v>41600.0</v>
      </c>
      <c r="K15" s="296">
        <v>47200.0</v>
      </c>
      <c r="L15" s="296">
        <v>24800.0</v>
      </c>
      <c r="M15" s="296">
        <v>36000.0</v>
      </c>
      <c r="N15" s="296">
        <v>47200.0</v>
      </c>
      <c r="O15" s="296">
        <v>52800.0</v>
      </c>
      <c r="P15" s="296">
        <v>52800.0</v>
      </c>
    </row>
    <row r="16" ht="15.75" customHeight="1">
      <c r="A16" s="291">
        <v>900.0</v>
      </c>
      <c r="B16" s="290"/>
      <c r="C16" s="295">
        <v>26900.0</v>
      </c>
      <c r="D16" s="296">
        <v>26900.0</v>
      </c>
      <c r="E16" s="296">
        <v>39500.0</v>
      </c>
      <c r="F16" s="296">
        <v>45800.0</v>
      </c>
      <c r="G16" s="296">
        <v>26900.0</v>
      </c>
      <c r="H16" s="296">
        <v>26900.0</v>
      </c>
      <c r="I16" s="296">
        <v>39500.0</v>
      </c>
      <c r="J16" s="296">
        <v>45800.0</v>
      </c>
      <c r="K16" s="296">
        <v>52100.0</v>
      </c>
      <c r="L16" s="296">
        <v>26900.0</v>
      </c>
      <c r="M16" s="296">
        <v>39500.0</v>
      </c>
      <c r="N16" s="296">
        <v>52100.0</v>
      </c>
      <c r="O16" s="296">
        <v>58400.0</v>
      </c>
      <c r="P16" s="296">
        <v>58400.0</v>
      </c>
    </row>
    <row r="17" ht="15.75" customHeight="1">
      <c r="A17" s="291">
        <v>1000.0</v>
      </c>
      <c r="B17" s="290"/>
      <c r="C17" s="295">
        <v>28000.0</v>
      </c>
      <c r="D17" s="296">
        <v>28000.0</v>
      </c>
      <c r="E17" s="296">
        <v>42000.0</v>
      </c>
      <c r="F17" s="296">
        <v>49000.0</v>
      </c>
      <c r="G17" s="296">
        <v>28000.0</v>
      </c>
      <c r="H17" s="296">
        <v>28000.0</v>
      </c>
      <c r="I17" s="296">
        <v>42000.0</v>
      </c>
      <c r="J17" s="296">
        <v>49000.0</v>
      </c>
      <c r="K17" s="296">
        <v>56000.0</v>
      </c>
      <c r="L17" s="296">
        <v>28000.0</v>
      </c>
      <c r="M17" s="296">
        <v>42000.0</v>
      </c>
      <c r="N17" s="296">
        <v>56000.0</v>
      </c>
      <c r="O17" s="296">
        <v>63000.0</v>
      </c>
      <c r="P17" s="296">
        <v>63000.0</v>
      </c>
    </row>
    <row r="18" ht="15.75" customHeight="1">
      <c r="A18" s="291"/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67"/>
      <c r="O18" s="267"/>
      <c r="P18" s="267"/>
    </row>
    <row r="19" ht="15.75" customHeight="1">
      <c r="A19" s="267"/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</row>
    <row r="20" ht="15.75" customHeight="1">
      <c r="A20" s="289" t="s">
        <v>796</v>
      </c>
    </row>
    <row r="21" ht="15.75" customHeight="1">
      <c r="A21" s="290"/>
      <c r="B21" s="291">
        <v>1.0</v>
      </c>
      <c r="C21" s="290" t="s">
        <v>783</v>
      </c>
      <c r="D21" s="290" t="s">
        <v>784</v>
      </c>
      <c r="E21" s="290" t="s">
        <v>785</v>
      </c>
      <c r="F21" s="290" t="s">
        <v>786</v>
      </c>
      <c r="G21" s="292" t="s">
        <v>787</v>
      </c>
      <c r="H21" s="292" t="s">
        <v>788</v>
      </c>
      <c r="I21" s="292" t="s">
        <v>789</v>
      </c>
      <c r="J21" s="292" t="s">
        <v>790</v>
      </c>
      <c r="K21" s="292" t="s">
        <v>791</v>
      </c>
      <c r="L21" s="292" t="s">
        <v>792</v>
      </c>
      <c r="M21" s="292" t="s">
        <v>793</v>
      </c>
      <c r="N21" s="290" t="s">
        <v>794</v>
      </c>
      <c r="O21" s="290" t="s">
        <v>795</v>
      </c>
      <c r="P21" s="290" t="s">
        <v>179</v>
      </c>
    </row>
    <row r="22" ht="15.75" customHeight="1">
      <c r="A22" s="291">
        <v>1.0</v>
      </c>
      <c r="B22" s="290"/>
      <c r="C22" s="290"/>
      <c r="D22" s="290"/>
      <c r="E22" s="290"/>
      <c r="F22" s="290"/>
      <c r="G22" s="292"/>
      <c r="H22" s="292"/>
      <c r="I22" s="292"/>
      <c r="J22" s="292"/>
      <c r="K22" s="292"/>
      <c r="L22" s="292"/>
      <c r="M22" s="292"/>
      <c r="N22" s="267"/>
      <c r="O22" s="267"/>
      <c r="P22" s="267"/>
    </row>
    <row r="23" ht="15.75" customHeight="1">
      <c r="A23" s="291">
        <v>200.0</v>
      </c>
      <c r="B23" s="290"/>
      <c r="C23" s="297">
        <v>14300.0</v>
      </c>
      <c r="D23" s="298">
        <v>14300.0</v>
      </c>
      <c r="E23" s="298">
        <v>18500.0</v>
      </c>
      <c r="F23" s="298">
        <v>20600.0</v>
      </c>
      <c r="G23" s="298">
        <v>14300.0</v>
      </c>
      <c r="H23" s="298">
        <v>14300.0</v>
      </c>
      <c r="I23" s="298">
        <v>18500.0</v>
      </c>
      <c r="J23" s="298">
        <v>20600.0</v>
      </c>
      <c r="K23" s="298">
        <v>22700.0</v>
      </c>
      <c r="L23" s="298">
        <v>14300.0</v>
      </c>
      <c r="M23" s="298">
        <v>18500.0</v>
      </c>
      <c r="N23" s="298">
        <v>22700.0</v>
      </c>
      <c r="O23" s="298">
        <v>24800.0</v>
      </c>
      <c r="P23" s="298">
        <v>24800.0</v>
      </c>
    </row>
    <row r="24" ht="15.75" customHeight="1">
      <c r="A24" s="291">
        <v>300.0</v>
      </c>
      <c r="B24" s="290"/>
      <c r="C24" s="299">
        <v>17500.0</v>
      </c>
      <c r="D24" s="300">
        <v>17500.0</v>
      </c>
      <c r="E24" s="300">
        <v>23800.0</v>
      </c>
      <c r="F24" s="300">
        <v>26900.0</v>
      </c>
      <c r="G24" s="300">
        <v>17500.0</v>
      </c>
      <c r="H24" s="300">
        <v>17500.0</v>
      </c>
      <c r="I24" s="300">
        <v>23800.0</v>
      </c>
      <c r="J24" s="300">
        <v>26900.0</v>
      </c>
      <c r="K24" s="300">
        <v>30100.0</v>
      </c>
      <c r="L24" s="300">
        <v>17500.0</v>
      </c>
      <c r="M24" s="300">
        <v>23800.0</v>
      </c>
      <c r="N24" s="300">
        <v>30100.0</v>
      </c>
      <c r="O24" s="300">
        <v>33200.0</v>
      </c>
      <c r="P24" s="300">
        <v>33200.0</v>
      </c>
    </row>
    <row r="25" ht="15.75" customHeight="1">
      <c r="A25" s="291">
        <v>400.0</v>
      </c>
      <c r="B25" s="290"/>
      <c r="C25" s="299">
        <v>20600.0</v>
      </c>
      <c r="D25" s="300">
        <v>20600.0</v>
      </c>
      <c r="E25" s="300">
        <v>29000.0</v>
      </c>
      <c r="F25" s="300">
        <v>33200.0</v>
      </c>
      <c r="G25" s="300">
        <v>20600.0</v>
      </c>
      <c r="H25" s="300">
        <v>20600.0</v>
      </c>
      <c r="I25" s="300">
        <v>29000.0</v>
      </c>
      <c r="J25" s="300">
        <v>33200.0</v>
      </c>
      <c r="K25" s="300">
        <v>37400.0</v>
      </c>
      <c r="L25" s="300">
        <v>20600.0</v>
      </c>
      <c r="M25" s="300">
        <v>29000.0</v>
      </c>
      <c r="N25" s="300">
        <v>37400.0</v>
      </c>
      <c r="O25" s="300">
        <v>41600.0</v>
      </c>
      <c r="P25" s="300">
        <v>41600.0</v>
      </c>
    </row>
    <row r="26" ht="15.75" customHeight="1">
      <c r="A26" s="291">
        <v>500.0</v>
      </c>
      <c r="B26" s="290"/>
      <c r="C26" s="299">
        <v>23800.0</v>
      </c>
      <c r="D26" s="300">
        <v>23800.0</v>
      </c>
      <c r="E26" s="300">
        <v>34300.0</v>
      </c>
      <c r="F26" s="300">
        <v>39500.0</v>
      </c>
      <c r="G26" s="300">
        <v>23800.0</v>
      </c>
      <c r="H26" s="300">
        <v>23800.0</v>
      </c>
      <c r="I26" s="300">
        <v>34300.0</v>
      </c>
      <c r="J26" s="300">
        <v>39500.0</v>
      </c>
      <c r="K26" s="300">
        <v>44800.0</v>
      </c>
      <c r="L26" s="300">
        <v>23800.0</v>
      </c>
      <c r="M26" s="300">
        <v>34300.0</v>
      </c>
      <c r="N26" s="300">
        <v>44800.0</v>
      </c>
      <c r="O26" s="300">
        <v>50000.0</v>
      </c>
      <c r="P26" s="300">
        <v>50000.0</v>
      </c>
    </row>
    <row r="27" ht="15.75" customHeight="1">
      <c r="A27" s="291">
        <v>600.0</v>
      </c>
      <c r="B27" s="290"/>
      <c r="C27" s="299">
        <v>22900.0</v>
      </c>
      <c r="D27" s="300">
        <v>22900.0</v>
      </c>
      <c r="E27" s="300">
        <v>35500.0</v>
      </c>
      <c r="F27" s="300">
        <v>41800.0</v>
      </c>
      <c r="G27" s="300">
        <v>22900.0</v>
      </c>
      <c r="H27" s="300">
        <v>22900.0</v>
      </c>
      <c r="I27" s="300">
        <v>35500.0</v>
      </c>
      <c r="J27" s="300">
        <v>41800.0</v>
      </c>
      <c r="K27" s="300">
        <v>48100.0</v>
      </c>
      <c r="L27" s="300">
        <v>22900.0</v>
      </c>
      <c r="M27" s="300">
        <v>35500.0</v>
      </c>
      <c r="N27" s="300">
        <v>48100.0</v>
      </c>
      <c r="O27" s="300">
        <v>54400.0</v>
      </c>
      <c r="P27" s="300">
        <v>54400.0</v>
      </c>
    </row>
    <row r="28" ht="15.75" customHeight="1">
      <c r="A28" s="291">
        <v>700.0</v>
      </c>
      <c r="B28" s="290"/>
      <c r="C28" s="299">
        <v>30100.0</v>
      </c>
      <c r="D28" s="300">
        <v>30100.0</v>
      </c>
      <c r="E28" s="300">
        <v>44800.0</v>
      </c>
      <c r="F28" s="300">
        <v>52100.0</v>
      </c>
      <c r="G28" s="300">
        <v>30100.0</v>
      </c>
      <c r="H28" s="300">
        <v>30100.0</v>
      </c>
      <c r="I28" s="300">
        <v>44800.0</v>
      </c>
      <c r="J28" s="300">
        <v>52100.0</v>
      </c>
      <c r="K28" s="300">
        <v>59500.0</v>
      </c>
      <c r="L28" s="300">
        <v>30100.0</v>
      </c>
      <c r="M28" s="300">
        <v>44800.0</v>
      </c>
      <c r="N28" s="300">
        <v>59500.0</v>
      </c>
      <c r="O28" s="300">
        <v>66800.0</v>
      </c>
      <c r="P28" s="300">
        <v>66800.0</v>
      </c>
    </row>
    <row r="29" ht="15.75" customHeight="1">
      <c r="A29" s="291">
        <v>800.0</v>
      </c>
      <c r="B29" s="290"/>
      <c r="C29" s="299">
        <v>33200.0</v>
      </c>
      <c r="D29" s="300">
        <v>33200.0</v>
      </c>
      <c r="E29" s="300">
        <v>50000.0</v>
      </c>
      <c r="F29" s="300">
        <v>58400.0</v>
      </c>
      <c r="G29" s="300">
        <v>33200.0</v>
      </c>
      <c r="H29" s="300">
        <v>33200.0</v>
      </c>
      <c r="I29" s="300">
        <v>50000.0</v>
      </c>
      <c r="J29" s="300">
        <v>58400.0</v>
      </c>
      <c r="K29" s="300">
        <v>66800.0</v>
      </c>
      <c r="L29" s="300">
        <v>33200.0</v>
      </c>
      <c r="M29" s="300">
        <v>50000.0</v>
      </c>
      <c r="N29" s="300">
        <v>66800.0</v>
      </c>
      <c r="O29" s="300">
        <v>75200.0</v>
      </c>
      <c r="P29" s="300">
        <v>75200.0</v>
      </c>
    </row>
    <row r="30" ht="15.75" customHeight="1">
      <c r="A30" s="291">
        <v>900.0</v>
      </c>
      <c r="B30" s="290"/>
      <c r="C30" s="299">
        <v>36400.0</v>
      </c>
      <c r="D30" s="300">
        <v>36400.0</v>
      </c>
      <c r="E30" s="300">
        <v>55300.0</v>
      </c>
      <c r="F30" s="300">
        <v>64700.0</v>
      </c>
      <c r="G30" s="300">
        <v>36400.0</v>
      </c>
      <c r="H30" s="300">
        <v>36400.0</v>
      </c>
      <c r="I30" s="300">
        <v>55300.0</v>
      </c>
      <c r="J30" s="300">
        <v>64700.0</v>
      </c>
      <c r="K30" s="300">
        <v>74200.0</v>
      </c>
      <c r="L30" s="300">
        <v>36400.0</v>
      </c>
      <c r="M30" s="300">
        <v>55300.0</v>
      </c>
      <c r="N30" s="300">
        <v>74200.0</v>
      </c>
      <c r="O30" s="300">
        <v>83600.0</v>
      </c>
      <c r="P30" s="300">
        <v>83600.0</v>
      </c>
    </row>
    <row r="31" ht="15.75" customHeight="1">
      <c r="A31" s="291">
        <v>1000.0</v>
      </c>
      <c r="B31" s="290"/>
      <c r="C31" s="299">
        <v>39500.0</v>
      </c>
      <c r="D31" s="300">
        <v>39500.0</v>
      </c>
      <c r="E31" s="300">
        <v>60500.0</v>
      </c>
      <c r="F31" s="300">
        <v>71000.0</v>
      </c>
      <c r="G31" s="300">
        <v>39500.0</v>
      </c>
      <c r="H31" s="300">
        <v>39500.0</v>
      </c>
      <c r="I31" s="300">
        <v>60500.0</v>
      </c>
      <c r="J31" s="300">
        <v>71000.0</v>
      </c>
      <c r="K31" s="300">
        <v>81500.0</v>
      </c>
      <c r="L31" s="300">
        <v>39500.0</v>
      </c>
      <c r="M31" s="300">
        <v>60500.0</v>
      </c>
      <c r="N31" s="300">
        <v>81500.0</v>
      </c>
      <c r="O31" s="300">
        <v>92000.0</v>
      </c>
      <c r="P31" s="300">
        <v>92000.0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23.25" customHeight="1">
      <c r="A38" s="289" t="s">
        <v>797</v>
      </c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67"/>
      <c r="AO38" s="267"/>
      <c r="AP38" s="267"/>
      <c r="AQ38" s="267"/>
      <c r="AR38" s="267"/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  <c r="BF38" s="267"/>
      <c r="BG38" s="267"/>
      <c r="BH38" s="267"/>
      <c r="BI38" s="267"/>
      <c r="BJ38" s="267"/>
      <c r="BK38" s="267"/>
      <c r="BL38" s="267"/>
      <c r="BM38" s="267"/>
    </row>
    <row r="39" ht="15.75" customHeight="1">
      <c r="A39" s="301" t="s">
        <v>558</v>
      </c>
      <c r="B39" s="291">
        <v>30.0</v>
      </c>
      <c r="C39" s="291">
        <v>50.0</v>
      </c>
      <c r="D39" s="291">
        <v>70.0</v>
      </c>
      <c r="E39" s="291">
        <v>90.0</v>
      </c>
      <c r="F39" s="291">
        <v>110.0</v>
      </c>
      <c r="G39" s="291">
        <v>130.0</v>
      </c>
      <c r="H39" s="291">
        <v>150.0</v>
      </c>
      <c r="I39" s="291">
        <v>170.0</v>
      </c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67"/>
      <c r="AK39" s="267"/>
      <c r="AL39" s="267"/>
      <c r="AM39" s="267"/>
      <c r="AN39" s="267"/>
      <c r="AO39" s="267"/>
      <c r="AP39" s="267"/>
      <c r="AQ39" s="267"/>
      <c r="AR39" s="267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  <c r="BF39" s="267"/>
      <c r="BG39" s="267"/>
      <c r="BH39" s="267"/>
      <c r="BI39" s="267"/>
      <c r="BJ39" s="267"/>
      <c r="BK39" s="267"/>
      <c r="BL39" s="267"/>
      <c r="BM39" s="267"/>
    </row>
    <row r="40" ht="15.75" customHeight="1">
      <c r="A40" s="291">
        <v>30.0</v>
      </c>
      <c r="B40" s="302">
        <v>11000.0</v>
      </c>
      <c r="C40" s="291">
        <v>11000.0</v>
      </c>
      <c r="D40" s="291">
        <v>11000.0</v>
      </c>
      <c r="E40" s="291">
        <v>11000.0</v>
      </c>
      <c r="F40" s="291">
        <v>11000.0</v>
      </c>
      <c r="G40" s="291">
        <v>11000.0</v>
      </c>
      <c r="H40" s="291">
        <v>11000.0</v>
      </c>
      <c r="I40" s="291">
        <v>12000.0</v>
      </c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67"/>
      <c r="AK40" s="267"/>
      <c r="AL40" s="267"/>
      <c r="AM40" s="267"/>
      <c r="AN40" s="267"/>
      <c r="AO40" s="267"/>
      <c r="AP40" s="267"/>
      <c r="AQ40" s="267"/>
      <c r="AR40" s="267"/>
      <c r="AS40" s="267"/>
      <c r="AT40" s="267"/>
      <c r="AU40" s="267"/>
      <c r="AV40" s="267"/>
      <c r="AW40" s="267"/>
      <c r="AX40" s="267"/>
      <c r="AY40" s="267"/>
      <c r="AZ40" s="267"/>
      <c r="BA40" s="267"/>
      <c r="BB40" s="267"/>
      <c r="BC40" s="267"/>
      <c r="BD40" s="267"/>
      <c r="BE40" s="267"/>
      <c r="BF40" s="267"/>
      <c r="BG40" s="267"/>
      <c r="BH40" s="267"/>
      <c r="BI40" s="267"/>
      <c r="BJ40" s="267"/>
      <c r="BK40" s="267"/>
      <c r="BL40" s="267"/>
      <c r="BM40" s="267"/>
    </row>
    <row r="41" ht="15.75" customHeight="1">
      <c r="A41" s="291">
        <v>50.0</v>
      </c>
      <c r="B41" s="302">
        <v>11000.0</v>
      </c>
      <c r="C41" s="302">
        <v>11000.0</v>
      </c>
      <c r="D41" s="291">
        <v>11000.0</v>
      </c>
      <c r="E41" s="291">
        <v>11000.0</v>
      </c>
      <c r="F41" s="291">
        <v>12000.0</v>
      </c>
      <c r="G41" s="291">
        <v>15000.0</v>
      </c>
      <c r="H41" s="291">
        <v>17000.0</v>
      </c>
      <c r="I41" s="291">
        <v>19000.0</v>
      </c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67"/>
      <c r="AK41" s="267"/>
      <c r="AL41" s="267"/>
      <c r="AM41" s="267"/>
      <c r="AN41" s="267"/>
      <c r="AO41" s="267"/>
      <c r="AP41" s="267"/>
      <c r="AQ41" s="267"/>
      <c r="AR41" s="267"/>
      <c r="AS41" s="267"/>
      <c r="AT41" s="267"/>
      <c r="AU41" s="267"/>
      <c r="AV41" s="267"/>
      <c r="AW41" s="267"/>
      <c r="AX41" s="267"/>
      <c r="AY41" s="267"/>
      <c r="AZ41" s="267"/>
      <c r="BA41" s="267"/>
      <c r="BB41" s="267"/>
      <c r="BC41" s="267"/>
      <c r="BD41" s="267"/>
      <c r="BE41" s="267"/>
      <c r="BF41" s="267"/>
      <c r="BG41" s="267"/>
      <c r="BH41" s="267"/>
      <c r="BI41" s="267"/>
      <c r="BJ41" s="267"/>
      <c r="BK41" s="267"/>
      <c r="BL41" s="267"/>
      <c r="BM41" s="267"/>
    </row>
    <row r="42" ht="15.75" customHeight="1">
      <c r="A42" s="291">
        <v>70.0</v>
      </c>
      <c r="B42" s="302">
        <v>11000.0</v>
      </c>
      <c r="C42" s="302">
        <v>11000.0</v>
      </c>
      <c r="D42" s="302">
        <v>11000.0</v>
      </c>
      <c r="E42" s="291">
        <v>14000.0</v>
      </c>
      <c r="F42" s="291">
        <v>17000.0</v>
      </c>
      <c r="G42" s="291">
        <v>20000.0</v>
      </c>
      <c r="H42" s="291">
        <v>23000.0</v>
      </c>
      <c r="I42" s="291">
        <v>27000.0</v>
      </c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7"/>
      <c r="AL42" s="267"/>
      <c r="AM42" s="267"/>
      <c r="AN42" s="267"/>
      <c r="AO42" s="267"/>
      <c r="AP42" s="267"/>
      <c r="AQ42" s="267"/>
      <c r="AR42" s="267"/>
      <c r="AS42" s="267"/>
      <c r="AT42" s="267"/>
      <c r="AU42" s="267"/>
      <c r="AV42" s="267"/>
      <c r="AW42" s="267"/>
      <c r="AX42" s="267"/>
      <c r="AY42" s="267"/>
      <c r="AZ42" s="267"/>
      <c r="BA42" s="267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7"/>
      <c r="BM42" s="267"/>
    </row>
    <row r="43" ht="15.75" customHeight="1">
      <c r="A43" s="291">
        <v>90.0</v>
      </c>
      <c r="B43" s="302">
        <v>11000.0</v>
      </c>
      <c r="C43" s="302">
        <v>11000.0</v>
      </c>
      <c r="D43" s="302">
        <v>14000.0</v>
      </c>
      <c r="E43" s="302">
        <v>18000.0</v>
      </c>
      <c r="F43" s="291">
        <v>22000.0</v>
      </c>
      <c r="G43" s="291">
        <v>26000.0</v>
      </c>
      <c r="H43" s="291">
        <v>30000.0</v>
      </c>
      <c r="I43" s="291">
        <v>34000.0</v>
      </c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L43" s="267"/>
      <c r="AM43" s="267"/>
      <c r="AN43" s="267"/>
      <c r="AO43" s="267"/>
      <c r="AP43" s="267"/>
      <c r="AQ43" s="267"/>
      <c r="AR43" s="267"/>
      <c r="AS43" s="267"/>
      <c r="AT43" s="267"/>
      <c r="AU43" s="267"/>
      <c r="AV43" s="267"/>
      <c r="AW43" s="267"/>
      <c r="AX43" s="267"/>
      <c r="AY43" s="267"/>
      <c r="AZ43" s="267"/>
      <c r="BA43" s="267"/>
      <c r="BB43" s="267"/>
      <c r="BC43" s="267"/>
      <c r="BD43" s="267"/>
      <c r="BE43" s="267"/>
      <c r="BF43" s="267"/>
      <c r="BG43" s="267"/>
      <c r="BH43" s="267"/>
      <c r="BI43" s="267"/>
      <c r="BJ43" s="267"/>
      <c r="BK43" s="267"/>
      <c r="BL43" s="267"/>
      <c r="BM43" s="267"/>
    </row>
    <row r="44" ht="15.75" customHeight="1">
      <c r="A44" s="291">
        <v>110.0</v>
      </c>
      <c r="B44" s="302">
        <v>11000.0</v>
      </c>
      <c r="C44" s="302">
        <v>12000.0</v>
      </c>
      <c r="D44" s="302">
        <v>17000.0</v>
      </c>
      <c r="E44" s="302">
        <v>22000.0</v>
      </c>
      <c r="F44" s="302">
        <v>27000.0</v>
      </c>
      <c r="G44" s="291">
        <v>32000.0</v>
      </c>
      <c r="H44" s="291">
        <v>37000.0</v>
      </c>
      <c r="I44" s="291">
        <v>42000.0</v>
      </c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  <c r="AC44" s="267"/>
      <c r="AD44" s="267"/>
      <c r="AE44" s="267"/>
      <c r="AF44" s="267"/>
      <c r="AG44" s="267"/>
      <c r="AH44" s="267"/>
      <c r="AI44" s="267"/>
      <c r="AJ44" s="267"/>
      <c r="AK44" s="267"/>
      <c r="AL44" s="267"/>
      <c r="AM44" s="267"/>
      <c r="AN44" s="267"/>
      <c r="AO44" s="267"/>
      <c r="AP44" s="267"/>
      <c r="AQ44" s="267"/>
      <c r="AR44" s="267"/>
      <c r="AS44" s="267"/>
      <c r="AT44" s="267"/>
      <c r="AU44" s="267"/>
      <c r="AV44" s="267"/>
      <c r="AW44" s="267"/>
      <c r="AX44" s="267"/>
      <c r="AY44" s="267"/>
      <c r="AZ44" s="267"/>
      <c r="BA44" s="267"/>
      <c r="BB44" s="267"/>
      <c r="BC44" s="267"/>
      <c r="BD44" s="267"/>
      <c r="BE44" s="267"/>
      <c r="BF44" s="267"/>
      <c r="BG44" s="267"/>
      <c r="BH44" s="267"/>
      <c r="BI44" s="267"/>
      <c r="BJ44" s="267"/>
      <c r="BK44" s="267"/>
      <c r="BL44" s="267"/>
      <c r="BM44" s="267"/>
    </row>
    <row r="45" ht="15.75" customHeight="1">
      <c r="A45" s="291">
        <v>130.0</v>
      </c>
      <c r="B45" s="302">
        <v>11000.0</v>
      </c>
      <c r="C45" s="302">
        <v>15000.0</v>
      </c>
      <c r="D45" s="302">
        <v>20000.0</v>
      </c>
      <c r="E45" s="302">
        <v>26000.0</v>
      </c>
      <c r="F45" s="302">
        <v>32000.0</v>
      </c>
      <c r="G45" s="302">
        <v>38000.0</v>
      </c>
      <c r="H45" s="291">
        <v>43000.0</v>
      </c>
      <c r="I45" s="291">
        <v>49000.0</v>
      </c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267"/>
      <c r="AM45" s="267"/>
      <c r="AN45" s="267"/>
      <c r="AO45" s="267"/>
      <c r="AP45" s="267"/>
      <c r="AQ45" s="267"/>
      <c r="AR45" s="267"/>
      <c r="AS45" s="267"/>
      <c r="AT45" s="267"/>
      <c r="AU45" s="267"/>
      <c r="AV45" s="267"/>
      <c r="AW45" s="267"/>
      <c r="AX45" s="267"/>
      <c r="AY45" s="267"/>
      <c r="AZ45" s="267"/>
      <c r="BA45" s="267"/>
      <c r="BB45" s="267"/>
      <c r="BC45" s="267"/>
      <c r="BD45" s="267"/>
      <c r="BE45" s="267"/>
      <c r="BF45" s="267"/>
      <c r="BG45" s="267"/>
      <c r="BH45" s="267"/>
      <c r="BI45" s="267"/>
      <c r="BJ45" s="267"/>
      <c r="BK45" s="267"/>
      <c r="BL45" s="267"/>
      <c r="BM45" s="267"/>
    </row>
    <row r="46" ht="15.75" customHeight="1">
      <c r="A46" s="291">
        <v>150.0</v>
      </c>
      <c r="B46" s="302">
        <v>11000.0</v>
      </c>
      <c r="C46" s="302">
        <v>17000.0</v>
      </c>
      <c r="D46" s="302">
        <v>23000.0</v>
      </c>
      <c r="E46" s="302">
        <v>30000.0</v>
      </c>
      <c r="F46" s="302">
        <v>37000.0</v>
      </c>
      <c r="G46" s="302">
        <v>43000.0</v>
      </c>
      <c r="H46" s="303">
        <v>50000.0</v>
      </c>
      <c r="I46" s="123">
        <v>56000.0</v>
      </c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267"/>
      <c r="AM46" s="267"/>
      <c r="AN46" s="267"/>
      <c r="AO46" s="267"/>
      <c r="AP46" s="267"/>
      <c r="AQ46" s="267"/>
      <c r="AR46" s="267"/>
      <c r="AS46" s="267"/>
      <c r="AT46" s="267"/>
      <c r="AU46" s="267"/>
      <c r="AV46" s="267"/>
      <c r="AW46" s="267"/>
      <c r="AX46" s="267"/>
      <c r="AY46" s="267"/>
      <c r="AZ46" s="267"/>
      <c r="BA46" s="267"/>
      <c r="BB46" s="267"/>
      <c r="BC46" s="267"/>
      <c r="BD46" s="267"/>
      <c r="BE46" s="267"/>
      <c r="BF46" s="267"/>
      <c r="BG46" s="267"/>
      <c r="BH46" s="267"/>
      <c r="BI46" s="267"/>
      <c r="BJ46" s="267"/>
      <c r="BK46" s="267"/>
      <c r="BL46" s="267"/>
      <c r="BM46" s="267"/>
    </row>
    <row r="47" ht="15.75" customHeight="1">
      <c r="A47" s="291">
        <v>170.0</v>
      </c>
      <c r="B47" s="302">
        <v>12000.0</v>
      </c>
      <c r="C47" s="302">
        <v>19000.0</v>
      </c>
      <c r="D47" s="302">
        <v>27000.0</v>
      </c>
      <c r="E47" s="302">
        <v>34000.0</v>
      </c>
      <c r="F47" s="302">
        <v>42000.0</v>
      </c>
      <c r="G47" s="302">
        <v>49000.0</v>
      </c>
      <c r="H47" s="303">
        <v>56000.0</v>
      </c>
      <c r="I47" s="303">
        <v>64000.0</v>
      </c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L47" s="267"/>
      <c r="AM47" s="267"/>
      <c r="AN47" s="267"/>
      <c r="AO47" s="267"/>
      <c r="AP47" s="267"/>
      <c r="AQ47" s="267"/>
      <c r="AR47" s="267"/>
      <c r="AS47" s="267"/>
      <c r="AT47" s="267"/>
      <c r="AU47" s="267"/>
      <c r="AV47" s="267"/>
      <c r="AW47" s="267"/>
      <c r="AX47" s="267"/>
      <c r="AY47" s="267"/>
      <c r="AZ47" s="267"/>
      <c r="BA47" s="267"/>
      <c r="BB47" s="267"/>
      <c r="BC47" s="267"/>
      <c r="BD47" s="267"/>
      <c r="BE47" s="267"/>
      <c r="BF47" s="267"/>
      <c r="BG47" s="267"/>
      <c r="BH47" s="267"/>
      <c r="BI47" s="267"/>
      <c r="BJ47" s="267"/>
      <c r="BK47" s="267"/>
      <c r="BL47" s="267"/>
      <c r="BM47" s="267"/>
    </row>
    <row r="48" ht="15.75" customHeight="1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  <c r="AR48" s="267"/>
      <c r="AS48" s="267"/>
      <c r="AT48" s="267"/>
      <c r="AU48" s="267"/>
      <c r="AV48" s="267"/>
      <c r="AW48" s="267"/>
      <c r="AX48" s="267"/>
      <c r="AY48" s="267"/>
      <c r="AZ48" s="267"/>
      <c r="BA48" s="267"/>
      <c r="BB48" s="267"/>
      <c r="BC48" s="267"/>
      <c r="BD48" s="267"/>
      <c r="BE48" s="267"/>
      <c r="BF48" s="267"/>
      <c r="BG48" s="267"/>
      <c r="BH48" s="267"/>
      <c r="BI48" s="267"/>
      <c r="BJ48" s="267"/>
      <c r="BK48" s="267"/>
      <c r="BL48" s="267"/>
      <c r="BM48" s="267"/>
    </row>
    <row r="49" ht="15.75" customHeight="1">
      <c r="A49" s="304" t="s">
        <v>798</v>
      </c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  <c r="AR49" s="267"/>
      <c r="AS49" s="267"/>
      <c r="AT49" s="267"/>
      <c r="AU49" s="267"/>
      <c r="AV49" s="267"/>
      <c r="AW49" s="267"/>
      <c r="AX49" s="267"/>
      <c r="AY49" s="267"/>
      <c r="AZ49" s="267"/>
      <c r="BA49" s="267"/>
      <c r="BB49" s="267"/>
      <c r="BC49" s="267"/>
      <c r="BD49" s="267"/>
      <c r="BE49" s="267"/>
      <c r="BF49" s="267"/>
      <c r="BG49" s="267"/>
      <c r="BH49" s="267"/>
      <c r="BI49" s="267"/>
      <c r="BJ49" s="267"/>
      <c r="BK49" s="267"/>
      <c r="BL49" s="267"/>
      <c r="BM49" s="267"/>
    </row>
    <row r="50" ht="15.75" customHeight="1">
      <c r="A50" s="290"/>
      <c r="B50" s="291" t="s">
        <v>799</v>
      </c>
      <c r="C50" s="291" t="s">
        <v>800</v>
      </c>
      <c r="D50" s="291" t="s">
        <v>801</v>
      </c>
      <c r="E50" s="291" t="s">
        <v>802</v>
      </c>
      <c r="F50" s="291" t="s">
        <v>803</v>
      </c>
      <c r="G50" s="291" t="s">
        <v>804</v>
      </c>
      <c r="H50" s="291" t="s">
        <v>805</v>
      </c>
      <c r="I50" s="291" t="s">
        <v>806</v>
      </c>
      <c r="J50" s="291" t="s">
        <v>807</v>
      </c>
      <c r="K50" s="291" t="s">
        <v>50</v>
      </c>
      <c r="L50" s="291" t="s">
        <v>264</v>
      </c>
      <c r="M50" s="291" t="s">
        <v>180</v>
      </c>
      <c r="N50" s="291" t="s">
        <v>808</v>
      </c>
      <c r="O50" s="291" t="s">
        <v>809</v>
      </c>
      <c r="P50" s="291" t="s">
        <v>810</v>
      </c>
      <c r="Q50" s="291" t="s">
        <v>811</v>
      </c>
      <c r="R50" s="291" t="s">
        <v>812</v>
      </c>
      <c r="S50" s="291" t="s">
        <v>270</v>
      </c>
      <c r="T50" s="291" t="s">
        <v>813</v>
      </c>
      <c r="U50" s="291" t="s">
        <v>814</v>
      </c>
      <c r="V50" s="291" t="s">
        <v>815</v>
      </c>
      <c r="W50" s="291" t="s">
        <v>816</v>
      </c>
      <c r="X50" s="291" t="s">
        <v>817</v>
      </c>
      <c r="Y50" s="291" t="s">
        <v>818</v>
      </c>
      <c r="Z50" s="291" t="s">
        <v>819</v>
      </c>
      <c r="AA50" s="291" t="s">
        <v>37</v>
      </c>
      <c r="AB50" s="291" t="s">
        <v>820</v>
      </c>
      <c r="AC50" s="291" t="s">
        <v>821</v>
      </c>
      <c r="AD50" s="291" t="s">
        <v>822</v>
      </c>
      <c r="AE50" s="291" t="s">
        <v>823</v>
      </c>
      <c r="AF50" s="291" t="s">
        <v>824</v>
      </c>
      <c r="AG50" s="291" t="s">
        <v>825</v>
      </c>
      <c r="AH50" s="291" t="s">
        <v>826</v>
      </c>
      <c r="AI50" s="291" t="s">
        <v>827</v>
      </c>
      <c r="AJ50" s="291" t="s">
        <v>828</v>
      </c>
      <c r="AK50" s="291" t="s">
        <v>829</v>
      </c>
      <c r="AL50" s="291" t="s">
        <v>830</v>
      </c>
      <c r="AM50" s="291" t="s">
        <v>831</v>
      </c>
      <c r="AN50" s="291" t="s">
        <v>832</v>
      </c>
      <c r="AO50" s="291" t="s">
        <v>31</v>
      </c>
      <c r="AP50" s="291" t="s">
        <v>833</v>
      </c>
      <c r="AQ50" s="291" t="s">
        <v>834</v>
      </c>
      <c r="AR50" s="291" t="s">
        <v>835</v>
      </c>
      <c r="AS50" s="291" t="s">
        <v>836</v>
      </c>
      <c r="AT50" s="291" t="s">
        <v>837</v>
      </c>
      <c r="AU50" s="291" t="s">
        <v>838</v>
      </c>
      <c r="AV50" s="291" t="s">
        <v>839</v>
      </c>
      <c r="AW50" s="291" t="s">
        <v>840</v>
      </c>
      <c r="AX50" s="291" t="s">
        <v>841</v>
      </c>
      <c r="AY50" s="291" t="s">
        <v>842</v>
      </c>
      <c r="AZ50" s="291" t="s">
        <v>843</v>
      </c>
      <c r="BA50" s="291" t="s">
        <v>844</v>
      </c>
      <c r="BB50" s="291" t="s">
        <v>845</v>
      </c>
      <c r="BC50" s="291" t="s">
        <v>846</v>
      </c>
      <c r="BD50" s="291" t="s">
        <v>847</v>
      </c>
      <c r="BE50" s="291" t="s">
        <v>848</v>
      </c>
      <c r="BF50" s="291" t="s">
        <v>849</v>
      </c>
      <c r="BG50" s="291" t="s">
        <v>850</v>
      </c>
      <c r="BH50" s="291" t="s">
        <v>851</v>
      </c>
      <c r="BI50" s="291" t="s">
        <v>852</v>
      </c>
      <c r="BJ50" s="291" t="s">
        <v>853</v>
      </c>
      <c r="BK50" s="291" t="s">
        <v>854</v>
      </c>
      <c r="BL50" s="291" t="s">
        <v>855</v>
      </c>
      <c r="BM50" s="291" t="s">
        <v>856</v>
      </c>
    </row>
    <row r="51" ht="15.75" customHeight="1">
      <c r="A51" s="305">
        <v>1.0</v>
      </c>
      <c r="B51" s="306"/>
      <c r="C51" s="306"/>
      <c r="D51" s="306"/>
      <c r="E51" s="306"/>
      <c r="F51" s="306"/>
      <c r="G51" s="306"/>
      <c r="H51" s="306"/>
      <c r="I51" s="306"/>
      <c r="J51" s="307"/>
      <c r="K51" s="307"/>
      <c r="L51" s="307"/>
      <c r="M51" s="307"/>
      <c r="N51" s="307"/>
      <c r="O51" s="307"/>
      <c r="P51" s="306"/>
      <c r="Q51" s="306"/>
      <c r="R51" s="307"/>
      <c r="S51" s="307"/>
      <c r="T51" s="307"/>
      <c r="U51" s="307"/>
      <c r="V51" s="307"/>
      <c r="W51" s="307"/>
      <c r="X51" s="306"/>
      <c r="Y51" s="306"/>
      <c r="Z51" s="306"/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  <c r="BC51" s="306"/>
      <c r="BD51" s="306"/>
      <c r="BE51" s="306"/>
      <c r="BF51" s="306"/>
      <c r="BG51" s="306"/>
      <c r="BH51" s="306"/>
      <c r="BI51" s="306"/>
      <c r="BJ51" s="306"/>
      <c r="BK51" s="306"/>
      <c r="BL51" s="306"/>
      <c r="BM51" s="306"/>
    </row>
    <row r="52" ht="15.75" customHeight="1">
      <c r="A52" s="291">
        <v>10.0</v>
      </c>
      <c r="B52" s="308">
        <v>55000.0</v>
      </c>
      <c r="C52" s="308">
        <v>55000.0</v>
      </c>
      <c r="D52" s="308">
        <v>55000.0</v>
      </c>
      <c r="E52" s="308">
        <v>55000.0</v>
      </c>
      <c r="F52" s="308">
        <v>55000.0</v>
      </c>
      <c r="G52" s="308">
        <v>55000.0</v>
      </c>
      <c r="H52" s="308">
        <v>55000.0</v>
      </c>
      <c r="I52" s="308">
        <v>65000.0</v>
      </c>
      <c r="J52" s="308">
        <v>55000.0</v>
      </c>
      <c r="K52" s="308">
        <v>55000.0</v>
      </c>
      <c r="L52" s="308">
        <v>55000.0</v>
      </c>
      <c r="M52" s="308">
        <v>55000.0</v>
      </c>
      <c r="N52" s="308">
        <v>65000.0</v>
      </c>
      <c r="O52" s="308">
        <v>65000.0</v>
      </c>
      <c r="P52" s="308">
        <v>65000.0</v>
      </c>
      <c r="Q52" s="308">
        <v>65000.0</v>
      </c>
      <c r="R52" s="308">
        <v>55000.0</v>
      </c>
      <c r="S52" s="308">
        <v>55000.0</v>
      </c>
      <c r="T52" s="308">
        <v>65000.0</v>
      </c>
      <c r="U52" s="308">
        <v>65000.0</v>
      </c>
      <c r="V52" s="308">
        <v>65000.0</v>
      </c>
      <c r="W52" s="308">
        <v>65000.0</v>
      </c>
      <c r="X52" s="308">
        <v>65000.0</v>
      </c>
      <c r="Y52" s="308">
        <v>80000.0</v>
      </c>
      <c r="Z52" s="308">
        <v>55000.0</v>
      </c>
      <c r="AA52" s="308">
        <v>55000.0</v>
      </c>
      <c r="AB52" s="308">
        <v>65000.0</v>
      </c>
      <c r="AC52" s="308">
        <v>65000.0</v>
      </c>
      <c r="AD52" s="308">
        <v>65000.0</v>
      </c>
      <c r="AE52" s="308">
        <v>80000.0</v>
      </c>
      <c r="AF52" s="308">
        <v>80000.0</v>
      </c>
      <c r="AG52" s="308">
        <v>80000.0</v>
      </c>
      <c r="AH52" s="308">
        <v>55000.0</v>
      </c>
      <c r="AI52" s="308">
        <v>65000.0</v>
      </c>
      <c r="AJ52" s="308">
        <v>65000.0</v>
      </c>
      <c r="AK52" s="308">
        <v>65000.0</v>
      </c>
      <c r="AL52" s="308">
        <v>80000.0</v>
      </c>
      <c r="AM52" s="308">
        <v>80000.0</v>
      </c>
      <c r="AN52" s="308">
        <v>80000.0</v>
      </c>
      <c r="AO52" s="308">
        <v>80000.0</v>
      </c>
      <c r="AP52" s="308">
        <v>55000.0</v>
      </c>
      <c r="AQ52" s="308">
        <v>65000.0</v>
      </c>
      <c r="AR52" s="308">
        <v>65000.0</v>
      </c>
      <c r="AS52" s="308">
        <v>80000.0</v>
      </c>
      <c r="AT52" s="308">
        <v>80000.0</v>
      </c>
      <c r="AU52" s="308">
        <v>80000.0</v>
      </c>
      <c r="AV52" s="308">
        <v>80000.0</v>
      </c>
      <c r="AW52" s="308">
        <v>120000.0</v>
      </c>
      <c r="AX52" s="308">
        <v>55000.0</v>
      </c>
      <c r="AY52" s="308">
        <v>65000.0</v>
      </c>
      <c r="AZ52" s="308">
        <v>65000.0</v>
      </c>
      <c r="BA52" s="308">
        <v>80000.0</v>
      </c>
      <c r="BB52" s="308">
        <v>80000.0</v>
      </c>
      <c r="BC52" s="308">
        <v>80000.0</v>
      </c>
      <c r="BD52" s="308">
        <v>120000.0</v>
      </c>
      <c r="BE52" s="308">
        <v>120000.0</v>
      </c>
      <c r="BF52" s="308">
        <v>65000.0</v>
      </c>
      <c r="BG52" s="308">
        <v>65000.0</v>
      </c>
      <c r="BH52" s="308">
        <v>80000.0</v>
      </c>
      <c r="BI52" s="308">
        <v>80000.0</v>
      </c>
      <c r="BJ52" s="308">
        <v>80000.0</v>
      </c>
      <c r="BK52" s="308">
        <v>120000.0</v>
      </c>
      <c r="BL52" s="308">
        <v>120000.0</v>
      </c>
      <c r="BM52" s="308">
        <v>120000.0</v>
      </c>
    </row>
    <row r="53" ht="15.75" customHeight="1">
      <c r="A53" s="291">
        <v>200.0</v>
      </c>
      <c r="B53" s="309">
        <v>65000.0</v>
      </c>
      <c r="C53" s="309">
        <v>65000.0</v>
      </c>
      <c r="D53" s="309">
        <v>65000.0</v>
      </c>
      <c r="E53" s="309">
        <v>65000.0</v>
      </c>
      <c r="F53" s="309">
        <v>65000.0</v>
      </c>
      <c r="G53" s="309">
        <v>65000.0</v>
      </c>
      <c r="H53" s="309">
        <v>65000.0</v>
      </c>
      <c r="I53" s="309">
        <v>80000.0</v>
      </c>
      <c r="J53" s="309">
        <v>65000.0</v>
      </c>
      <c r="K53" s="309">
        <v>65000.0</v>
      </c>
      <c r="L53" s="309">
        <v>65000.0</v>
      </c>
      <c r="M53" s="309">
        <v>65000.0</v>
      </c>
      <c r="N53" s="309">
        <v>80000.0</v>
      </c>
      <c r="O53" s="309">
        <v>80000.0</v>
      </c>
      <c r="P53" s="309">
        <v>80000.0</v>
      </c>
      <c r="Q53" s="309">
        <v>80000.0</v>
      </c>
      <c r="R53" s="309">
        <v>65000.0</v>
      </c>
      <c r="S53" s="309">
        <v>65000.0</v>
      </c>
      <c r="T53" s="309">
        <v>80000.0</v>
      </c>
      <c r="U53" s="309">
        <v>80000.0</v>
      </c>
      <c r="V53" s="309">
        <v>80000.0</v>
      </c>
      <c r="W53" s="309">
        <v>80000.0</v>
      </c>
      <c r="X53" s="309">
        <v>80000.0</v>
      </c>
      <c r="Y53" s="309">
        <v>120000.0</v>
      </c>
      <c r="Z53" s="309">
        <v>65000.0</v>
      </c>
      <c r="AA53" s="309">
        <v>65000.0</v>
      </c>
      <c r="AB53" s="309">
        <v>80000.0</v>
      </c>
      <c r="AC53" s="309">
        <v>90000.0</v>
      </c>
      <c r="AD53" s="309">
        <v>90000.0</v>
      </c>
      <c r="AE53" s="309">
        <v>120000.0</v>
      </c>
      <c r="AF53" s="309">
        <v>120000.0</v>
      </c>
      <c r="AG53" s="309">
        <v>120000.0</v>
      </c>
      <c r="AH53" s="309">
        <v>65000.0</v>
      </c>
      <c r="AI53" s="309">
        <v>80000.0</v>
      </c>
      <c r="AJ53" s="309">
        <v>80000.0</v>
      </c>
      <c r="AK53" s="309">
        <v>90000.0</v>
      </c>
      <c r="AL53" s="309">
        <v>120000.0</v>
      </c>
      <c r="AM53" s="309">
        <v>120000.0</v>
      </c>
      <c r="AN53" s="309">
        <v>120000.0</v>
      </c>
      <c r="AO53" s="309">
        <v>120000.0</v>
      </c>
      <c r="AP53" s="309">
        <v>65000.0</v>
      </c>
      <c r="AQ53" s="309">
        <v>80000.0</v>
      </c>
      <c r="AR53" s="309">
        <v>80000.0</v>
      </c>
      <c r="AS53" s="309">
        <v>120000.0</v>
      </c>
      <c r="AT53" s="309">
        <v>120000.0</v>
      </c>
      <c r="AU53" s="309">
        <v>120000.0</v>
      </c>
      <c r="AV53" s="309">
        <v>120000.0</v>
      </c>
      <c r="AW53" s="309">
        <v>160000.0</v>
      </c>
      <c r="AX53" s="309">
        <v>65000.0</v>
      </c>
      <c r="AY53" s="309">
        <v>80000.0</v>
      </c>
      <c r="AZ53" s="309">
        <v>80000.0</v>
      </c>
      <c r="BA53" s="309">
        <v>120000.0</v>
      </c>
      <c r="BB53" s="309">
        <v>120000.0</v>
      </c>
      <c r="BC53" s="309">
        <v>120000.0</v>
      </c>
      <c r="BD53" s="309">
        <v>160000.0</v>
      </c>
      <c r="BE53" s="309">
        <v>160000.0</v>
      </c>
      <c r="BF53" s="309">
        <v>80000.0</v>
      </c>
      <c r="BG53" s="309">
        <v>80000.0</v>
      </c>
      <c r="BH53" s="309">
        <v>120000.0</v>
      </c>
      <c r="BI53" s="309">
        <v>120000.0</v>
      </c>
      <c r="BJ53" s="309">
        <v>120000.0</v>
      </c>
      <c r="BK53" s="309">
        <v>160000.0</v>
      </c>
      <c r="BL53" s="309">
        <v>160000.0</v>
      </c>
      <c r="BM53" s="309">
        <v>160000.0</v>
      </c>
    </row>
    <row r="54" ht="15.75" customHeight="1">
      <c r="A54" s="291">
        <v>500.0</v>
      </c>
      <c r="B54" s="310">
        <v>70000.0</v>
      </c>
      <c r="C54" s="310">
        <v>70000.0</v>
      </c>
      <c r="D54" s="310">
        <v>70000.0</v>
      </c>
      <c r="E54" s="310">
        <v>70000.0</v>
      </c>
      <c r="F54" s="310">
        <v>70000.0</v>
      </c>
      <c r="G54" s="310">
        <v>70000.0</v>
      </c>
      <c r="H54" s="310">
        <v>70000.0</v>
      </c>
      <c r="I54" s="310">
        <v>85000.0</v>
      </c>
      <c r="J54" s="310">
        <v>70000.0</v>
      </c>
      <c r="K54" s="310">
        <v>70000.0</v>
      </c>
      <c r="L54" s="310">
        <v>70000.0</v>
      </c>
      <c r="M54" s="310">
        <v>70000.0</v>
      </c>
      <c r="N54" s="310">
        <v>85000.0</v>
      </c>
      <c r="O54" s="310">
        <v>85000.0</v>
      </c>
      <c r="P54" s="310">
        <v>85000.0</v>
      </c>
      <c r="Q54" s="310">
        <v>85000.0</v>
      </c>
      <c r="R54" s="310">
        <v>70000.0</v>
      </c>
      <c r="S54" s="310">
        <v>70000.0</v>
      </c>
      <c r="T54" s="310">
        <v>85000.0</v>
      </c>
      <c r="U54" s="310">
        <v>85000.0</v>
      </c>
      <c r="V54" s="310">
        <v>85000.0</v>
      </c>
      <c r="W54" s="310">
        <v>85000.0</v>
      </c>
      <c r="X54" s="310">
        <v>85000.0</v>
      </c>
      <c r="Y54" s="310">
        <v>140000.0</v>
      </c>
      <c r="Z54" s="310">
        <v>70000.0</v>
      </c>
      <c r="AA54" s="310">
        <v>70000.0</v>
      </c>
      <c r="AB54" s="310">
        <v>85000.0</v>
      </c>
      <c r="AC54" s="310">
        <v>100000.0</v>
      </c>
      <c r="AD54" s="310">
        <v>100000.0</v>
      </c>
      <c r="AE54" s="310">
        <v>140000.0</v>
      </c>
      <c r="AF54" s="310">
        <v>140000.0</v>
      </c>
      <c r="AG54" s="310">
        <v>140000.0</v>
      </c>
      <c r="AH54" s="310">
        <v>70000.0</v>
      </c>
      <c r="AI54" s="310">
        <v>85000.0</v>
      </c>
      <c r="AJ54" s="310">
        <v>85000.0</v>
      </c>
      <c r="AK54" s="310">
        <v>100000.0</v>
      </c>
      <c r="AL54" s="310">
        <v>140000.0</v>
      </c>
      <c r="AM54" s="310">
        <v>140000.0</v>
      </c>
      <c r="AN54" s="310">
        <v>140000.0</v>
      </c>
      <c r="AO54" s="310">
        <v>140000.0</v>
      </c>
      <c r="AP54" s="310">
        <v>70000.0</v>
      </c>
      <c r="AQ54" s="310">
        <v>85000.0</v>
      </c>
      <c r="AR54" s="310">
        <v>85000.0</v>
      </c>
      <c r="AS54" s="310">
        <v>140000.0</v>
      </c>
      <c r="AT54" s="310">
        <v>140000.0</v>
      </c>
      <c r="AU54" s="310">
        <v>140000.0</v>
      </c>
      <c r="AV54" s="310">
        <v>140000.0</v>
      </c>
      <c r="AW54" s="310">
        <v>180000.0</v>
      </c>
      <c r="AX54" s="310">
        <v>70000.0</v>
      </c>
      <c r="AY54" s="310">
        <v>85000.0</v>
      </c>
      <c r="AZ54" s="310">
        <v>85000.0</v>
      </c>
      <c r="BA54" s="310">
        <v>140000.0</v>
      </c>
      <c r="BB54" s="310">
        <v>140000.0</v>
      </c>
      <c r="BC54" s="310">
        <v>140000.0</v>
      </c>
      <c r="BD54" s="310">
        <v>180000.0</v>
      </c>
      <c r="BE54" s="310">
        <v>180000.0</v>
      </c>
      <c r="BF54" s="310">
        <v>85000.0</v>
      </c>
      <c r="BG54" s="310">
        <v>85000.0</v>
      </c>
      <c r="BH54" s="310">
        <v>140000.0</v>
      </c>
      <c r="BI54" s="310">
        <v>140000.0</v>
      </c>
      <c r="BJ54" s="310">
        <v>140000.0</v>
      </c>
      <c r="BK54" s="310">
        <v>180000.0</v>
      </c>
      <c r="BL54" s="310">
        <v>180000.0</v>
      </c>
      <c r="BM54" s="310">
        <v>180000.0</v>
      </c>
    </row>
    <row r="55" ht="15.75" customHeight="1">
      <c r="A55" s="291">
        <v>1000.0</v>
      </c>
      <c r="B55" s="311">
        <v>75000.0</v>
      </c>
      <c r="C55" s="311">
        <v>75000.0</v>
      </c>
      <c r="D55" s="311">
        <v>75000.0</v>
      </c>
      <c r="E55" s="311">
        <v>75000.0</v>
      </c>
      <c r="F55" s="311">
        <v>75000.0</v>
      </c>
      <c r="G55" s="311">
        <v>75000.0</v>
      </c>
      <c r="H55" s="311">
        <v>75000.0</v>
      </c>
      <c r="I55" s="311">
        <v>95000.0</v>
      </c>
      <c r="J55" s="311">
        <v>75000.0</v>
      </c>
      <c r="K55" s="311">
        <v>75000.0</v>
      </c>
      <c r="L55" s="311">
        <v>75000.0</v>
      </c>
      <c r="M55" s="311">
        <v>75000.0</v>
      </c>
      <c r="N55" s="311">
        <v>95000.0</v>
      </c>
      <c r="O55" s="311">
        <v>95000.0</v>
      </c>
      <c r="P55" s="311">
        <v>95000.0</v>
      </c>
      <c r="Q55" s="311">
        <v>95000.0</v>
      </c>
      <c r="R55" s="311">
        <v>75000.0</v>
      </c>
      <c r="S55" s="311">
        <v>75000.0</v>
      </c>
      <c r="T55" s="311">
        <v>95000.0</v>
      </c>
      <c r="U55" s="311">
        <v>95000.0</v>
      </c>
      <c r="V55" s="311">
        <v>95000.0</v>
      </c>
      <c r="W55" s="311">
        <v>95000.0</v>
      </c>
      <c r="X55" s="311">
        <v>95000.0</v>
      </c>
      <c r="Y55" s="311">
        <v>160000.0</v>
      </c>
      <c r="Z55" s="311">
        <v>75000.0</v>
      </c>
      <c r="AA55" s="311">
        <v>75000.0</v>
      </c>
      <c r="AB55" s="311">
        <v>95000.0</v>
      </c>
      <c r="AC55" s="311">
        <v>120000.0</v>
      </c>
      <c r="AD55" s="311">
        <v>120000.0</v>
      </c>
      <c r="AE55" s="311">
        <v>160000.0</v>
      </c>
      <c r="AF55" s="311">
        <v>160000.0</v>
      </c>
      <c r="AG55" s="311">
        <v>160000.0</v>
      </c>
      <c r="AH55" s="311">
        <v>75000.0</v>
      </c>
      <c r="AI55" s="311">
        <v>95000.0</v>
      </c>
      <c r="AJ55" s="311">
        <v>95000.0</v>
      </c>
      <c r="AK55" s="311">
        <v>120000.0</v>
      </c>
      <c r="AL55" s="311">
        <v>160000.0</v>
      </c>
      <c r="AM55" s="311">
        <v>160000.0</v>
      </c>
      <c r="AN55" s="311">
        <v>160000.0</v>
      </c>
      <c r="AO55" s="311">
        <v>160000.0</v>
      </c>
      <c r="AP55" s="311">
        <v>75000.0</v>
      </c>
      <c r="AQ55" s="311">
        <v>95000.0</v>
      </c>
      <c r="AR55" s="311">
        <v>95000.0</v>
      </c>
      <c r="AS55" s="311">
        <v>160000.0</v>
      </c>
      <c r="AT55" s="311">
        <v>160000.0</v>
      </c>
      <c r="AU55" s="311">
        <v>160000.0</v>
      </c>
      <c r="AV55" s="311">
        <v>160000.0</v>
      </c>
      <c r="AW55" s="311">
        <v>200000.0</v>
      </c>
      <c r="AX55" s="311">
        <v>75000.0</v>
      </c>
      <c r="AY55" s="311">
        <v>95000.0</v>
      </c>
      <c r="AZ55" s="311">
        <v>95000.0</v>
      </c>
      <c r="BA55" s="311">
        <v>160000.0</v>
      </c>
      <c r="BB55" s="311">
        <v>160000.0</v>
      </c>
      <c r="BC55" s="311">
        <v>160000.0</v>
      </c>
      <c r="BD55" s="311">
        <v>200000.0</v>
      </c>
      <c r="BE55" s="311">
        <v>200000.0</v>
      </c>
      <c r="BF55" s="311">
        <v>95000.0</v>
      </c>
      <c r="BG55" s="311">
        <v>95000.0</v>
      </c>
      <c r="BH55" s="311">
        <v>160000.0</v>
      </c>
      <c r="BI55" s="311">
        <v>160000.0</v>
      </c>
      <c r="BJ55" s="311">
        <v>160000.0</v>
      </c>
      <c r="BK55" s="311">
        <v>200000.0</v>
      </c>
      <c r="BL55" s="311">
        <v>200000.0</v>
      </c>
      <c r="BM55" s="311">
        <v>200000.0</v>
      </c>
    </row>
    <row r="56" ht="15.75" customHeight="1">
      <c r="A56" s="291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</row>
    <row r="57" ht="15.75" customHeight="1">
      <c r="A57" s="291"/>
      <c r="B57" s="290"/>
      <c r="C57" s="290"/>
      <c r="D57" s="290"/>
      <c r="E57" s="290"/>
      <c r="F57" s="290"/>
      <c r="G57" s="290"/>
      <c r="H57" s="290"/>
      <c r="I57" s="267"/>
      <c r="J57" s="290"/>
      <c r="K57" s="290"/>
      <c r="L57" s="290"/>
      <c r="M57" s="290"/>
      <c r="N57" s="290"/>
      <c r="O57" s="290"/>
      <c r="P57" s="290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  <c r="AR57" s="267"/>
      <c r="AS57" s="267"/>
      <c r="AT57" s="267"/>
      <c r="AU57" s="267"/>
      <c r="AV57" s="267"/>
      <c r="AW57" s="267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67"/>
      <c r="BM57" s="267"/>
    </row>
    <row r="58" ht="15.75" customHeight="1">
      <c r="A58" s="312" t="s">
        <v>857</v>
      </c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</row>
    <row r="59" ht="15.75" customHeight="1">
      <c r="A59" s="290"/>
      <c r="B59" s="291" t="s">
        <v>799</v>
      </c>
      <c r="C59" s="291" t="s">
        <v>800</v>
      </c>
      <c r="D59" s="291" t="s">
        <v>801</v>
      </c>
      <c r="E59" s="291" t="s">
        <v>802</v>
      </c>
      <c r="F59" s="291" t="s">
        <v>803</v>
      </c>
      <c r="G59" s="291" t="s">
        <v>804</v>
      </c>
      <c r="H59" s="291" t="s">
        <v>805</v>
      </c>
      <c r="I59" s="291" t="s">
        <v>806</v>
      </c>
      <c r="J59" s="291" t="s">
        <v>807</v>
      </c>
      <c r="K59" s="291" t="s">
        <v>50</v>
      </c>
      <c r="L59" s="291" t="s">
        <v>264</v>
      </c>
      <c r="M59" s="291" t="s">
        <v>180</v>
      </c>
      <c r="N59" s="291" t="s">
        <v>808</v>
      </c>
      <c r="O59" s="291" t="s">
        <v>809</v>
      </c>
      <c r="P59" s="291" t="s">
        <v>810</v>
      </c>
      <c r="Q59" s="291" t="s">
        <v>811</v>
      </c>
      <c r="R59" s="291" t="s">
        <v>812</v>
      </c>
      <c r="S59" s="291" t="s">
        <v>270</v>
      </c>
      <c r="T59" s="291" t="s">
        <v>813</v>
      </c>
      <c r="U59" s="291" t="s">
        <v>814</v>
      </c>
      <c r="V59" s="291" t="s">
        <v>815</v>
      </c>
      <c r="W59" s="291" t="s">
        <v>816</v>
      </c>
      <c r="X59" s="291" t="s">
        <v>817</v>
      </c>
      <c r="Y59" s="291" t="s">
        <v>818</v>
      </c>
      <c r="Z59" s="291" t="s">
        <v>819</v>
      </c>
      <c r="AA59" s="291" t="s">
        <v>37</v>
      </c>
      <c r="AB59" s="291" t="s">
        <v>820</v>
      </c>
      <c r="AC59" s="291" t="s">
        <v>821</v>
      </c>
      <c r="AD59" s="291" t="s">
        <v>822</v>
      </c>
      <c r="AE59" s="291" t="s">
        <v>823</v>
      </c>
      <c r="AF59" s="291" t="s">
        <v>824</v>
      </c>
      <c r="AG59" s="291" t="s">
        <v>825</v>
      </c>
      <c r="AH59" s="291" t="s">
        <v>826</v>
      </c>
      <c r="AI59" s="291" t="s">
        <v>827</v>
      </c>
      <c r="AJ59" s="291" t="s">
        <v>828</v>
      </c>
      <c r="AK59" s="291" t="s">
        <v>829</v>
      </c>
      <c r="AL59" s="291" t="s">
        <v>830</v>
      </c>
      <c r="AM59" s="291" t="s">
        <v>831</v>
      </c>
      <c r="AN59" s="291" t="s">
        <v>832</v>
      </c>
      <c r="AO59" s="291" t="s">
        <v>31</v>
      </c>
      <c r="AP59" s="291" t="s">
        <v>833</v>
      </c>
      <c r="AQ59" s="291" t="s">
        <v>834</v>
      </c>
      <c r="AR59" s="291" t="s">
        <v>835</v>
      </c>
      <c r="AS59" s="291" t="s">
        <v>836</v>
      </c>
      <c r="AT59" s="291" t="s">
        <v>837</v>
      </c>
      <c r="AU59" s="291" t="s">
        <v>838</v>
      </c>
      <c r="AV59" s="291" t="s">
        <v>839</v>
      </c>
      <c r="AW59" s="291" t="s">
        <v>840</v>
      </c>
      <c r="AX59" s="291" t="s">
        <v>841</v>
      </c>
      <c r="AY59" s="291" t="s">
        <v>842</v>
      </c>
      <c r="AZ59" s="291" t="s">
        <v>843</v>
      </c>
      <c r="BA59" s="291" t="s">
        <v>844</v>
      </c>
      <c r="BB59" s="291" t="s">
        <v>845</v>
      </c>
      <c r="BC59" s="291" t="s">
        <v>846</v>
      </c>
      <c r="BD59" s="291" t="s">
        <v>847</v>
      </c>
      <c r="BE59" s="291" t="s">
        <v>848</v>
      </c>
      <c r="BF59" s="291" t="s">
        <v>849</v>
      </c>
      <c r="BG59" s="291" t="s">
        <v>850</v>
      </c>
      <c r="BH59" s="291" t="s">
        <v>851</v>
      </c>
      <c r="BI59" s="291" t="s">
        <v>852</v>
      </c>
      <c r="BJ59" s="291" t="s">
        <v>853</v>
      </c>
      <c r="BK59" s="291" t="s">
        <v>854</v>
      </c>
      <c r="BL59" s="291" t="s">
        <v>855</v>
      </c>
      <c r="BM59" s="291" t="s">
        <v>856</v>
      </c>
    </row>
    <row r="60" ht="15.75" customHeight="1">
      <c r="A60" s="305">
        <v>1.0</v>
      </c>
      <c r="B60" s="306"/>
      <c r="C60" s="306"/>
      <c r="D60" s="306"/>
      <c r="E60" s="306"/>
      <c r="F60" s="306"/>
      <c r="G60" s="306"/>
      <c r="H60" s="306"/>
      <c r="I60" s="306"/>
      <c r="J60" s="307"/>
      <c r="K60" s="307"/>
      <c r="L60" s="307"/>
      <c r="M60" s="307"/>
      <c r="N60" s="307"/>
      <c r="O60" s="307"/>
      <c r="P60" s="306"/>
      <c r="Q60" s="306"/>
      <c r="R60" s="307"/>
      <c r="S60" s="307"/>
      <c r="T60" s="307"/>
      <c r="U60" s="307"/>
      <c r="V60" s="307"/>
      <c r="W60" s="307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306"/>
      <c r="BD60" s="306"/>
      <c r="BE60" s="306"/>
      <c r="BF60" s="306"/>
      <c r="BG60" s="306"/>
      <c r="BH60" s="306"/>
      <c r="BI60" s="306"/>
      <c r="BJ60" s="306"/>
      <c r="BK60" s="306"/>
      <c r="BL60" s="306"/>
      <c r="BM60" s="306"/>
    </row>
    <row r="61" ht="15.75" customHeight="1">
      <c r="A61" s="291">
        <v>10.0</v>
      </c>
      <c r="B61" s="308">
        <v>65000.0</v>
      </c>
      <c r="C61" s="308">
        <v>65000.0</v>
      </c>
      <c r="D61" s="308">
        <v>65000.0</v>
      </c>
      <c r="E61" s="308">
        <v>65000.0</v>
      </c>
      <c r="F61" s="308">
        <v>65000.0</v>
      </c>
      <c r="G61" s="308">
        <v>65000.0</v>
      </c>
      <c r="H61" s="308">
        <v>65000.0</v>
      </c>
      <c r="I61" s="308">
        <v>80000.0</v>
      </c>
      <c r="J61" s="308">
        <v>65000.0</v>
      </c>
      <c r="K61" s="308">
        <v>65000.0</v>
      </c>
      <c r="L61" s="308">
        <v>65000.0</v>
      </c>
      <c r="M61" s="308">
        <v>65000.0</v>
      </c>
      <c r="N61" s="308">
        <v>80000.0</v>
      </c>
      <c r="O61" s="308">
        <v>80000.0</v>
      </c>
      <c r="P61" s="308">
        <v>80000.0</v>
      </c>
      <c r="Q61" s="308">
        <v>80000.0</v>
      </c>
      <c r="R61" s="308">
        <v>65000.0</v>
      </c>
      <c r="S61" s="308">
        <v>65000.0</v>
      </c>
      <c r="T61" s="308">
        <v>80000.0</v>
      </c>
      <c r="U61" s="308">
        <v>80000.0</v>
      </c>
      <c r="V61" s="308">
        <v>80000.0</v>
      </c>
      <c r="W61" s="308">
        <v>80000.0</v>
      </c>
      <c r="X61" s="308">
        <v>80000.0</v>
      </c>
      <c r="Y61" s="308">
        <v>100000.0</v>
      </c>
      <c r="Z61" s="308">
        <v>65000.0</v>
      </c>
      <c r="AA61" s="308">
        <v>65000.0</v>
      </c>
      <c r="AB61" s="308">
        <v>80000.0</v>
      </c>
      <c r="AC61" s="308">
        <v>80000.0</v>
      </c>
      <c r="AD61" s="308">
        <v>80000.0</v>
      </c>
      <c r="AE61" s="308">
        <v>100000.0</v>
      </c>
      <c r="AF61" s="308">
        <v>100000.0</v>
      </c>
      <c r="AG61" s="308">
        <v>100000.0</v>
      </c>
      <c r="AH61" s="308">
        <v>65000.0</v>
      </c>
      <c r="AI61" s="308">
        <v>80000.0</v>
      </c>
      <c r="AJ61" s="308">
        <v>80000.0</v>
      </c>
      <c r="AK61" s="308">
        <v>80000.0</v>
      </c>
      <c r="AL61" s="308">
        <v>100000.0</v>
      </c>
      <c r="AM61" s="308">
        <v>100000.0</v>
      </c>
      <c r="AN61" s="308">
        <v>100000.0</v>
      </c>
      <c r="AO61" s="308">
        <v>100000.0</v>
      </c>
      <c r="AP61" s="308">
        <v>65000.0</v>
      </c>
      <c r="AQ61" s="308">
        <v>80000.0</v>
      </c>
      <c r="AR61" s="308">
        <v>80000.0</v>
      </c>
      <c r="AS61" s="308">
        <v>100000.0</v>
      </c>
      <c r="AT61" s="308">
        <v>100000.0</v>
      </c>
      <c r="AU61" s="308">
        <v>100000.0</v>
      </c>
      <c r="AV61" s="308">
        <v>100000.0</v>
      </c>
      <c r="AW61" s="308">
        <v>150000.0</v>
      </c>
      <c r="AX61" s="308">
        <v>65000.0</v>
      </c>
      <c r="AY61" s="308">
        <v>80000.0</v>
      </c>
      <c r="AZ61" s="308">
        <v>80000.0</v>
      </c>
      <c r="BA61" s="308">
        <v>100000.0</v>
      </c>
      <c r="BB61" s="308">
        <v>100000.0</v>
      </c>
      <c r="BC61" s="308">
        <v>100000.0</v>
      </c>
      <c r="BD61" s="308">
        <v>150000.0</v>
      </c>
      <c r="BE61" s="308">
        <v>150000.0</v>
      </c>
      <c r="BF61" s="308">
        <v>80000.0</v>
      </c>
      <c r="BG61" s="308">
        <v>80000.0</v>
      </c>
      <c r="BH61" s="308">
        <v>100000.0</v>
      </c>
      <c r="BI61" s="308">
        <v>100000.0</v>
      </c>
      <c r="BJ61" s="308">
        <v>100000.0</v>
      </c>
      <c r="BK61" s="308">
        <v>150000.0</v>
      </c>
      <c r="BL61" s="308">
        <v>150000.0</v>
      </c>
      <c r="BM61" s="308">
        <v>150000.0</v>
      </c>
    </row>
    <row r="62" ht="15.75" customHeight="1">
      <c r="A62" s="291">
        <v>200.0</v>
      </c>
      <c r="B62" s="309">
        <v>80000.0</v>
      </c>
      <c r="C62" s="309">
        <v>80000.0</v>
      </c>
      <c r="D62" s="309">
        <v>80000.0</v>
      </c>
      <c r="E62" s="309">
        <v>80000.0</v>
      </c>
      <c r="F62" s="309">
        <v>80000.0</v>
      </c>
      <c r="G62" s="309">
        <v>80000.0</v>
      </c>
      <c r="H62" s="309">
        <v>80000.0</v>
      </c>
      <c r="I62" s="309">
        <v>103000.0</v>
      </c>
      <c r="J62" s="309">
        <v>80000.0</v>
      </c>
      <c r="K62" s="309">
        <v>80000.0</v>
      </c>
      <c r="L62" s="309">
        <v>80000.0</v>
      </c>
      <c r="M62" s="309">
        <v>80000.0</v>
      </c>
      <c r="N62" s="309">
        <v>103000.0</v>
      </c>
      <c r="O62" s="309">
        <v>103000.0</v>
      </c>
      <c r="P62" s="309">
        <v>103000.0</v>
      </c>
      <c r="Q62" s="309">
        <v>103000.0</v>
      </c>
      <c r="R62" s="309">
        <v>80000.0</v>
      </c>
      <c r="S62" s="309">
        <v>80000.0</v>
      </c>
      <c r="T62" s="309">
        <v>103000.0</v>
      </c>
      <c r="U62" s="309">
        <v>103000.0</v>
      </c>
      <c r="V62" s="309">
        <v>103000.0</v>
      </c>
      <c r="W62" s="309">
        <v>103000.0</v>
      </c>
      <c r="X62" s="309">
        <v>103000.0</v>
      </c>
      <c r="Y62" s="309">
        <v>150000.0</v>
      </c>
      <c r="Z62" s="309">
        <v>80000.0</v>
      </c>
      <c r="AA62" s="309">
        <v>80000.0</v>
      </c>
      <c r="AB62" s="309">
        <v>103000.0</v>
      </c>
      <c r="AC62" s="309">
        <v>113000.0</v>
      </c>
      <c r="AD62" s="309">
        <v>113000.0</v>
      </c>
      <c r="AE62" s="309">
        <v>150000.0</v>
      </c>
      <c r="AF62" s="309">
        <v>150000.0</v>
      </c>
      <c r="AG62" s="309">
        <v>150000.0</v>
      </c>
      <c r="AH62" s="309">
        <v>80000.0</v>
      </c>
      <c r="AI62" s="309">
        <v>103000.0</v>
      </c>
      <c r="AJ62" s="309">
        <v>103000.0</v>
      </c>
      <c r="AK62" s="309">
        <v>113000.0</v>
      </c>
      <c r="AL62" s="309">
        <v>150000.0</v>
      </c>
      <c r="AM62" s="309">
        <v>150000.0</v>
      </c>
      <c r="AN62" s="309">
        <v>150000.0</v>
      </c>
      <c r="AO62" s="309">
        <v>150000.0</v>
      </c>
      <c r="AP62" s="309">
        <v>80000.0</v>
      </c>
      <c r="AQ62" s="309">
        <v>103000.0</v>
      </c>
      <c r="AR62" s="309">
        <v>103000.0</v>
      </c>
      <c r="AS62" s="309">
        <v>150000.0</v>
      </c>
      <c r="AT62" s="309">
        <v>150000.0</v>
      </c>
      <c r="AU62" s="309">
        <v>150000.0</v>
      </c>
      <c r="AV62" s="309">
        <v>150000.0</v>
      </c>
      <c r="AW62" s="309">
        <v>200000.0</v>
      </c>
      <c r="AX62" s="309">
        <v>80000.0</v>
      </c>
      <c r="AY62" s="309">
        <v>103000.0</v>
      </c>
      <c r="AZ62" s="309">
        <v>103000.0</v>
      </c>
      <c r="BA62" s="309">
        <v>150000.0</v>
      </c>
      <c r="BB62" s="309">
        <v>150000.0</v>
      </c>
      <c r="BC62" s="309">
        <v>150000.0</v>
      </c>
      <c r="BD62" s="309">
        <v>200000.0</v>
      </c>
      <c r="BE62" s="309">
        <v>200000.0</v>
      </c>
      <c r="BF62" s="309">
        <v>103000.0</v>
      </c>
      <c r="BG62" s="309">
        <v>103000.0</v>
      </c>
      <c r="BH62" s="309">
        <v>150000.0</v>
      </c>
      <c r="BI62" s="309">
        <v>150000.0</v>
      </c>
      <c r="BJ62" s="309">
        <v>150000.0</v>
      </c>
      <c r="BK62" s="309">
        <v>200000.0</v>
      </c>
      <c r="BL62" s="309">
        <v>200000.0</v>
      </c>
      <c r="BM62" s="309">
        <v>200000.0</v>
      </c>
    </row>
    <row r="63" ht="15.75" customHeight="1">
      <c r="A63" s="291">
        <v>500.0</v>
      </c>
      <c r="B63" s="310">
        <v>88000.0</v>
      </c>
      <c r="C63" s="310">
        <v>88000.0</v>
      </c>
      <c r="D63" s="310">
        <v>88000.0</v>
      </c>
      <c r="E63" s="310">
        <v>88000.0</v>
      </c>
      <c r="F63" s="310">
        <v>88000.0</v>
      </c>
      <c r="G63" s="310">
        <v>88000.0</v>
      </c>
      <c r="H63" s="310">
        <v>88000.0</v>
      </c>
      <c r="I63" s="310">
        <v>110000.0</v>
      </c>
      <c r="J63" s="310">
        <v>88000.0</v>
      </c>
      <c r="K63" s="310">
        <v>88000.0</v>
      </c>
      <c r="L63" s="310">
        <v>88000.0</v>
      </c>
      <c r="M63" s="310">
        <v>88000.0</v>
      </c>
      <c r="N63" s="310">
        <v>110000.0</v>
      </c>
      <c r="O63" s="310">
        <v>110000.0</v>
      </c>
      <c r="P63" s="310">
        <v>110000.0</v>
      </c>
      <c r="Q63" s="310">
        <v>110000.0</v>
      </c>
      <c r="R63" s="310">
        <v>88000.0</v>
      </c>
      <c r="S63" s="310">
        <v>88000.0</v>
      </c>
      <c r="T63" s="310">
        <v>110000.0</v>
      </c>
      <c r="U63" s="310">
        <v>110000.0</v>
      </c>
      <c r="V63" s="310">
        <v>110000.0</v>
      </c>
      <c r="W63" s="310">
        <v>110000.0</v>
      </c>
      <c r="X63" s="310">
        <v>110000.0</v>
      </c>
      <c r="Y63" s="310">
        <v>175000.0</v>
      </c>
      <c r="Z63" s="310">
        <v>88000.0</v>
      </c>
      <c r="AA63" s="310">
        <v>88000.0</v>
      </c>
      <c r="AB63" s="310">
        <v>110000.0</v>
      </c>
      <c r="AC63" s="310">
        <v>125000.0</v>
      </c>
      <c r="AD63" s="310">
        <v>125000.0</v>
      </c>
      <c r="AE63" s="310">
        <v>175000.0</v>
      </c>
      <c r="AF63" s="310">
        <v>175000.0</v>
      </c>
      <c r="AG63" s="310">
        <v>175000.0</v>
      </c>
      <c r="AH63" s="310">
        <v>88000.0</v>
      </c>
      <c r="AI63" s="310">
        <v>110000.0</v>
      </c>
      <c r="AJ63" s="310">
        <v>110000.0</v>
      </c>
      <c r="AK63" s="310">
        <v>125000.0</v>
      </c>
      <c r="AL63" s="310">
        <v>175000.0</v>
      </c>
      <c r="AM63" s="310">
        <v>175000.0</v>
      </c>
      <c r="AN63" s="310">
        <v>175000.0</v>
      </c>
      <c r="AO63" s="310">
        <v>175000.0</v>
      </c>
      <c r="AP63" s="310">
        <v>88000.0</v>
      </c>
      <c r="AQ63" s="310">
        <v>110000.0</v>
      </c>
      <c r="AR63" s="310">
        <v>110000.0</v>
      </c>
      <c r="AS63" s="310">
        <v>175000.0</v>
      </c>
      <c r="AT63" s="310">
        <v>175000.0</v>
      </c>
      <c r="AU63" s="310">
        <v>175000.0</v>
      </c>
      <c r="AV63" s="310">
        <v>175000.0</v>
      </c>
      <c r="AW63" s="310">
        <v>225000.0</v>
      </c>
      <c r="AX63" s="310">
        <v>88000.0</v>
      </c>
      <c r="AY63" s="310">
        <v>110000.0</v>
      </c>
      <c r="AZ63" s="310">
        <v>110000.0</v>
      </c>
      <c r="BA63" s="310">
        <v>175000.0</v>
      </c>
      <c r="BB63" s="310">
        <v>175000.0</v>
      </c>
      <c r="BC63" s="310">
        <v>175000.0</v>
      </c>
      <c r="BD63" s="310">
        <v>225000.0</v>
      </c>
      <c r="BE63" s="310">
        <v>225000.0</v>
      </c>
      <c r="BF63" s="310">
        <v>110000.0</v>
      </c>
      <c r="BG63" s="310">
        <v>110000.0</v>
      </c>
      <c r="BH63" s="310">
        <v>175000.0</v>
      </c>
      <c r="BI63" s="310">
        <v>175000.0</v>
      </c>
      <c r="BJ63" s="310">
        <v>175000.0</v>
      </c>
      <c r="BK63" s="310">
        <v>225000.0</v>
      </c>
      <c r="BL63" s="310">
        <v>225000.0</v>
      </c>
      <c r="BM63" s="310">
        <v>225000.0</v>
      </c>
    </row>
    <row r="64" ht="15.75" customHeight="1">
      <c r="A64" s="291">
        <v>1000.0</v>
      </c>
      <c r="B64" s="311">
        <v>95000.0</v>
      </c>
      <c r="C64" s="311">
        <v>95000.0</v>
      </c>
      <c r="D64" s="311">
        <v>95000.0</v>
      </c>
      <c r="E64" s="311">
        <v>95000.0</v>
      </c>
      <c r="F64" s="311">
        <v>95000.0</v>
      </c>
      <c r="G64" s="311">
        <v>95000.0</v>
      </c>
      <c r="H64" s="311">
        <v>95000.0</v>
      </c>
      <c r="I64" s="311">
        <v>125000.0</v>
      </c>
      <c r="J64" s="311">
        <v>95000.0</v>
      </c>
      <c r="K64" s="311">
        <v>95000.0</v>
      </c>
      <c r="L64" s="311">
        <v>95000.0</v>
      </c>
      <c r="M64" s="311">
        <v>95000.0</v>
      </c>
      <c r="N64" s="311">
        <v>95000.0</v>
      </c>
      <c r="O64" s="311">
        <v>125000.0</v>
      </c>
      <c r="P64" s="311">
        <v>125000.0</v>
      </c>
      <c r="Q64" s="311">
        <v>125000.0</v>
      </c>
      <c r="R64" s="311">
        <v>95000.0</v>
      </c>
      <c r="S64" s="311">
        <v>95000.0</v>
      </c>
      <c r="T64" s="311">
        <v>125000.0</v>
      </c>
      <c r="U64" s="311">
        <v>125000.0</v>
      </c>
      <c r="V64" s="311">
        <v>125000.0</v>
      </c>
      <c r="W64" s="311">
        <v>125000.0</v>
      </c>
      <c r="X64" s="311">
        <v>125000.0</v>
      </c>
      <c r="Y64" s="311">
        <v>200000.0</v>
      </c>
      <c r="Z64" s="311">
        <v>95000.0</v>
      </c>
      <c r="AA64" s="311">
        <v>95000.0</v>
      </c>
      <c r="AB64" s="311">
        <v>125000.0</v>
      </c>
      <c r="AC64" s="311">
        <v>150000.0</v>
      </c>
      <c r="AD64" s="311">
        <v>150000.0</v>
      </c>
      <c r="AE64" s="311">
        <v>200000.0</v>
      </c>
      <c r="AF64" s="311">
        <v>200000.0</v>
      </c>
      <c r="AG64" s="311">
        <v>200000.0</v>
      </c>
      <c r="AH64" s="311">
        <v>95000.0</v>
      </c>
      <c r="AI64" s="311">
        <v>95000.0</v>
      </c>
      <c r="AJ64" s="311">
        <v>125000.0</v>
      </c>
      <c r="AK64" s="311">
        <v>150000.0</v>
      </c>
      <c r="AL64" s="311">
        <v>200000.0</v>
      </c>
      <c r="AM64" s="311">
        <v>200000.0</v>
      </c>
      <c r="AN64" s="311">
        <v>200000.0</v>
      </c>
      <c r="AO64" s="311">
        <v>200000.0</v>
      </c>
      <c r="AP64" s="311">
        <v>95000.0</v>
      </c>
      <c r="AQ64" s="311">
        <v>125000.0</v>
      </c>
      <c r="AR64" s="311">
        <v>125000.0</v>
      </c>
      <c r="AS64" s="311">
        <v>200000.0</v>
      </c>
      <c r="AT64" s="311">
        <v>200000.0</v>
      </c>
      <c r="AU64" s="311">
        <v>200000.0</v>
      </c>
      <c r="AV64" s="311">
        <v>200000.0</v>
      </c>
      <c r="AW64" s="311">
        <v>250000.0</v>
      </c>
      <c r="AX64" s="311">
        <v>95000.0</v>
      </c>
      <c r="AY64" s="311">
        <v>125000.0</v>
      </c>
      <c r="AZ64" s="311">
        <v>125000.0</v>
      </c>
      <c r="BA64" s="311">
        <v>200000.0</v>
      </c>
      <c r="BB64" s="311">
        <v>200000.0</v>
      </c>
      <c r="BC64" s="311">
        <v>200000.0</v>
      </c>
      <c r="BD64" s="311">
        <v>250000.0</v>
      </c>
      <c r="BE64" s="311">
        <v>250000.0</v>
      </c>
      <c r="BF64" s="311">
        <v>125000.0</v>
      </c>
      <c r="BG64" s="311">
        <v>125000.0</v>
      </c>
      <c r="BH64" s="311">
        <v>200000.0</v>
      </c>
      <c r="BI64" s="311">
        <v>200000.0</v>
      </c>
      <c r="BJ64" s="311">
        <v>200000.0</v>
      </c>
      <c r="BK64" s="311">
        <v>250000.0</v>
      </c>
      <c r="BL64" s="311">
        <v>250000.0</v>
      </c>
      <c r="BM64" s="311">
        <v>250000.0</v>
      </c>
    </row>
    <row r="65" ht="15.75" customHeight="1">
      <c r="A65" s="305"/>
      <c r="B65" s="305"/>
      <c r="C65" s="307"/>
      <c r="D65" s="305"/>
      <c r="E65" s="307"/>
      <c r="F65" s="305"/>
      <c r="G65" s="307"/>
      <c r="H65" s="305"/>
      <c r="I65" s="307"/>
      <c r="J65" s="305"/>
      <c r="K65" s="307"/>
      <c r="L65" s="305"/>
      <c r="M65" s="306"/>
      <c r="N65" s="305"/>
      <c r="O65" s="306"/>
      <c r="P65" s="305"/>
      <c r="Q65" s="306"/>
      <c r="R65" s="313"/>
      <c r="S65" s="313"/>
      <c r="T65" s="313"/>
      <c r="U65" s="313"/>
    </row>
    <row r="66" ht="15.75" customHeight="1">
      <c r="A66" s="305"/>
      <c r="B66" s="305"/>
      <c r="C66" s="307"/>
      <c r="D66" s="305"/>
      <c r="E66" s="307"/>
      <c r="F66" s="305"/>
      <c r="G66" s="307"/>
      <c r="H66" s="305"/>
      <c r="I66" s="307"/>
      <c r="J66" s="305"/>
      <c r="K66" s="307"/>
      <c r="L66" s="305"/>
      <c r="M66" s="306"/>
      <c r="N66" s="305"/>
      <c r="O66" s="306"/>
      <c r="P66" s="305"/>
      <c r="Q66" s="306"/>
      <c r="R66" s="313"/>
      <c r="S66" s="313"/>
      <c r="T66" s="313"/>
      <c r="U66" s="313"/>
    </row>
    <row r="67" ht="15.75" customHeight="1">
      <c r="A67" s="305"/>
      <c r="B67" s="305"/>
      <c r="C67" s="307"/>
      <c r="D67" s="305"/>
      <c r="E67" s="307"/>
      <c r="F67" s="305"/>
      <c r="G67" s="307"/>
      <c r="H67" s="305"/>
      <c r="I67" s="307"/>
      <c r="J67" s="305"/>
      <c r="K67" s="307"/>
      <c r="L67" s="305"/>
      <c r="M67" s="306"/>
      <c r="N67" s="305"/>
      <c r="O67" s="306"/>
      <c r="P67" s="314"/>
      <c r="Q67" s="306"/>
      <c r="R67" s="313"/>
      <c r="S67" s="313"/>
      <c r="T67" s="313"/>
      <c r="U67" s="313"/>
    </row>
    <row r="68" ht="15.75" customHeight="1">
      <c r="A68" s="305"/>
      <c r="B68" s="305"/>
      <c r="C68" s="307"/>
      <c r="D68" s="305"/>
      <c r="E68" s="307"/>
      <c r="F68" s="305"/>
      <c r="G68" s="307"/>
      <c r="H68" s="305"/>
      <c r="I68" s="307"/>
      <c r="J68" s="305"/>
      <c r="K68" s="307"/>
      <c r="L68" s="305"/>
      <c r="M68" s="306"/>
      <c r="N68" s="305"/>
      <c r="O68" s="306"/>
      <c r="P68" s="314"/>
      <c r="Q68" s="306"/>
      <c r="R68" s="313"/>
      <c r="S68" s="313"/>
      <c r="T68" s="313"/>
      <c r="U68" s="313"/>
    </row>
    <row r="69" ht="15.75" customHeight="1">
      <c r="A69" s="305"/>
      <c r="B69" s="305"/>
      <c r="C69" s="307"/>
      <c r="D69" s="305"/>
      <c r="E69" s="307"/>
      <c r="F69" s="305"/>
      <c r="G69" s="307"/>
      <c r="H69" s="305"/>
      <c r="I69" s="307"/>
      <c r="J69" s="305"/>
      <c r="K69" s="307"/>
      <c r="L69" s="305"/>
      <c r="M69" s="306"/>
      <c r="N69" s="314"/>
      <c r="O69" s="306"/>
      <c r="P69" s="314"/>
      <c r="Q69" s="306"/>
      <c r="R69" s="313"/>
      <c r="S69" s="313"/>
      <c r="T69" s="313"/>
      <c r="U69" s="313"/>
    </row>
    <row r="70" ht="15.75" customHeight="1"/>
    <row r="71" ht="15.75" customHeight="1">
      <c r="A71" s="61" t="s">
        <v>858</v>
      </c>
      <c r="E71" s="77"/>
      <c r="F71" s="61" t="s">
        <v>859</v>
      </c>
    </row>
    <row r="72" ht="15.75" customHeight="1">
      <c r="A72" s="1" t="s">
        <v>366</v>
      </c>
      <c r="B72" s="64" t="s">
        <v>372</v>
      </c>
      <c r="C72" s="63" t="s">
        <v>373</v>
      </c>
      <c r="D72" s="63" t="s">
        <v>374</v>
      </c>
      <c r="E72" s="77"/>
      <c r="F72" s="1" t="s">
        <v>366</v>
      </c>
      <c r="G72" s="64" t="s">
        <v>372</v>
      </c>
      <c r="H72" s="63" t="s">
        <v>373</v>
      </c>
      <c r="I72" s="63" t="s">
        <v>374</v>
      </c>
    </row>
    <row r="73" ht="15.75" customHeight="1">
      <c r="A73" s="83">
        <v>1.0</v>
      </c>
      <c r="B73" s="83">
        <v>4500.0</v>
      </c>
      <c r="C73" s="83">
        <v>5000.0</v>
      </c>
      <c r="D73" s="83">
        <v>5500.0</v>
      </c>
      <c r="E73" s="77"/>
      <c r="F73" s="83">
        <v>1.0</v>
      </c>
      <c r="G73" s="83">
        <v>4500.0</v>
      </c>
      <c r="H73" s="83">
        <v>5000.0</v>
      </c>
      <c r="I73" s="83">
        <v>5500.0</v>
      </c>
    </row>
    <row r="74" ht="15.75" customHeight="1">
      <c r="A74" s="83">
        <v>2.0</v>
      </c>
      <c r="B74" s="83">
        <v>4000.0</v>
      </c>
      <c r="C74" s="83">
        <v>4500.0</v>
      </c>
      <c r="D74" s="83">
        <v>5000.0</v>
      </c>
      <c r="E74" s="77"/>
      <c r="F74" s="83">
        <v>2.0</v>
      </c>
      <c r="G74" s="83">
        <v>4000.0</v>
      </c>
      <c r="H74" s="83">
        <v>4500.0</v>
      </c>
      <c r="I74" s="83">
        <v>5000.0</v>
      </c>
    </row>
    <row r="75" ht="15.75" customHeight="1">
      <c r="A75" s="83">
        <v>3.0</v>
      </c>
      <c r="B75" s="83">
        <v>3500.0</v>
      </c>
      <c r="C75" s="83">
        <v>4000.0</v>
      </c>
      <c r="D75" s="83">
        <v>4500.0</v>
      </c>
      <c r="E75" s="77"/>
      <c r="F75" s="83">
        <v>3.0</v>
      </c>
      <c r="G75" s="83">
        <v>3500.0</v>
      </c>
      <c r="H75" s="83">
        <v>4000.0</v>
      </c>
      <c r="I75" s="83">
        <v>4500.0</v>
      </c>
    </row>
    <row r="76" ht="15.75" customHeight="1">
      <c r="A76" s="83">
        <v>4.0</v>
      </c>
      <c r="B76" s="83">
        <v>3000.0</v>
      </c>
      <c r="C76" s="83">
        <v>3500.0</v>
      </c>
      <c r="D76" s="83">
        <v>4000.0</v>
      </c>
      <c r="E76" s="77"/>
      <c r="F76" s="83">
        <v>4.0</v>
      </c>
      <c r="G76" s="83">
        <v>3000.0</v>
      </c>
      <c r="H76" s="83">
        <v>3500.0</v>
      </c>
      <c r="I76" s="83">
        <v>4000.0</v>
      </c>
    </row>
    <row r="77" ht="15.75" customHeight="1">
      <c r="A77" s="83">
        <v>5.0</v>
      </c>
      <c r="B77" s="83">
        <v>2500.0</v>
      </c>
      <c r="C77" s="83">
        <v>3000.0</v>
      </c>
      <c r="D77" s="83">
        <v>3500.0</v>
      </c>
      <c r="E77" s="77"/>
      <c r="F77" s="83">
        <v>5.0</v>
      </c>
      <c r="G77" s="83">
        <v>2500.0</v>
      </c>
      <c r="H77" s="83">
        <v>3000.0</v>
      </c>
      <c r="I77" s="83">
        <v>3500.0</v>
      </c>
    </row>
    <row r="78" ht="15.75" customHeight="1">
      <c r="A78" s="83">
        <v>6.0</v>
      </c>
      <c r="B78" s="83">
        <v>2000.0</v>
      </c>
      <c r="C78" s="83">
        <v>2500.0</v>
      </c>
      <c r="D78" s="83">
        <v>3000.0</v>
      </c>
      <c r="E78" s="77"/>
      <c r="F78" s="83">
        <v>6.0</v>
      </c>
      <c r="G78" s="83">
        <v>2000.0</v>
      </c>
      <c r="H78" s="83">
        <v>2500.0</v>
      </c>
      <c r="I78" s="83">
        <v>3000.0</v>
      </c>
    </row>
    <row r="79" ht="15.75" customHeight="1">
      <c r="A79" s="83">
        <v>7.0</v>
      </c>
      <c r="B79" s="83">
        <v>1500.0</v>
      </c>
      <c r="C79" s="83">
        <v>2000.0</v>
      </c>
      <c r="D79" s="83">
        <v>2500.0</v>
      </c>
      <c r="E79" s="77"/>
      <c r="F79" s="83">
        <v>7.0</v>
      </c>
      <c r="G79" s="83">
        <v>1500.0</v>
      </c>
      <c r="H79" s="83">
        <v>2000.0</v>
      </c>
      <c r="I79" s="83">
        <v>2500.0</v>
      </c>
    </row>
    <row r="80" ht="15.75" customHeight="1">
      <c r="A80" s="83">
        <v>8.0</v>
      </c>
      <c r="B80" s="83">
        <v>1000.0</v>
      </c>
      <c r="C80" s="83">
        <v>1500.0</v>
      </c>
      <c r="D80" s="83">
        <v>2000.0</v>
      </c>
      <c r="E80" s="77"/>
      <c r="F80" s="83">
        <v>8.0</v>
      </c>
      <c r="G80" s="83">
        <v>1000.0</v>
      </c>
      <c r="H80" s="83">
        <v>1500.0</v>
      </c>
      <c r="I80" s="83">
        <v>2000.0</v>
      </c>
    </row>
    <row r="81" ht="15.75" customHeight="1">
      <c r="A81" s="83">
        <v>9.0</v>
      </c>
      <c r="B81" s="83">
        <v>800.0</v>
      </c>
      <c r="C81" s="83">
        <v>1000.0</v>
      </c>
      <c r="D81" s="83">
        <v>1500.0</v>
      </c>
      <c r="E81" s="77"/>
      <c r="F81" s="83">
        <v>9.0</v>
      </c>
      <c r="G81" s="83">
        <v>800.0</v>
      </c>
      <c r="H81" s="83">
        <v>1000.0</v>
      </c>
      <c r="I81" s="83">
        <v>1500.0</v>
      </c>
    </row>
    <row r="82" ht="15.75" customHeight="1">
      <c r="A82" s="83">
        <v>10.0</v>
      </c>
      <c r="B82" s="83">
        <v>500.0</v>
      </c>
      <c r="C82" s="83">
        <v>800.0</v>
      </c>
      <c r="D82" s="83">
        <v>1000.0</v>
      </c>
      <c r="E82" s="77"/>
      <c r="F82" s="83">
        <v>10.0</v>
      </c>
      <c r="G82" s="83">
        <v>500.0</v>
      </c>
      <c r="H82" s="83">
        <v>800.0</v>
      </c>
      <c r="I82" s="83">
        <v>1000.0</v>
      </c>
    </row>
    <row r="83" ht="15.75" customHeight="1">
      <c r="A83" s="83">
        <v>15.0</v>
      </c>
      <c r="B83" s="83">
        <v>470.0</v>
      </c>
      <c r="C83" s="83">
        <v>750.0</v>
      </c>
      <c r="D83" s="83">
        <v>930.0</v>
      </c>
      <c r="E83" s="77"/>
      <c r="F83" s="83">
        <v>15.0</v>
      </c>
      <c r="G83" s="83">
        <v>470.0</v>
      </c>
      <c r="H83" s="83">
        <v>750.0</v>
      </c>
      <c r="I83" s="83">
        <v>930.0</v>
      </c>
    </row>
    <row r="84" ht="15.75" customHeight="1">
      <c r="A84" s="83">
        <v>20.0</v>
      </c>
      <c r="B84" s="83">
        <v>440.0</v>
      </c>
      <c r="C84" s="83">
        <v>700.0</v>
      </c>
      <c r="D84" s="83">
        <v>860.0</v>
      </c>
      <c r="E84" s="77"/>
      <c r="F84" s="83">
        <v>20.0</v>
      </c>
      <c r="G84" s="83">
        <v>440.0</v>
      </c>
      <c r="H84" s="83">
        <v>700.0</v>
      </c>
      <c r="I84" s="83">
        <v>860.0</v>
      </c>
    </row>
    <row r="85" ht="15.75" customHeight="1">
      <c r="A85" s="83">
        <v>25.0</v>
      </c>
      <c r="B85" s="83">
        <v>410.0</v>
      </c>
      <c r="C85" s="83">
        <v>650.0</v>
      </c>
      <c r="D85" s="83">
        <v>790.0</v>
      </c>
      <c r="E85" s="77"/>
      <c r="F85" s="83">
        <v>25.0</v>
      </c>
      <c r="G85" s="83">
        <v>410.0</v>
      </c>
      <c r="H85" s="83">
        <v>650.0</v>
      </c>
      <c r="I85" s="83">
        <v>790.0</v>
      </c>
    </row>
    <row r="86" ht="15.75" customHeight="1">
      <c r="A86" s="83">
        <v>30.0</v>
      </c>
      <c r="B86" s="83">
        <v>380.0</v>
      </c>
      <c r="C86" s="83">
        <v>600.0</v>
      </c>
      <c r="D86" s="83">
        <v>720.0</v>
      </c>
      <c r="E86" s="77"/>
      <c r="F86" s="83">
        <v>30.0</v>
      </c>
      <c r="G86" s="83">
        <v>380.0</v>
      </c>
      <c r="H86" s="83">
        <v>600.0</v>
      </c>
      <c r="I86" s="83">
        <v>720.0</v>
      </c>
    </row>
    <row r="87" ht="15.75" customHeight="1">
      <c r="A87" s="83">
        <v>35.0</v>
      </c>
      <c r="B87" s="83">
        <v>350.0</v>
      </c>
      <c r="C87" s="83">
        <v>550.0</v>
      </c>
      <c r="D87" s="83">
        <v>650.0</v>
      </c>
      <c r="E87" s="77"/>
      <c r="F87" s="83">
        <v>35.0</v>
      </c>
      <c r="G87" s="83">
        <v>350.0</v>
      </c>
      <c r="H87" s="83">
        <v>550.0</v>
      </c>
      <c r="I87" s="83">
        <v>650.0</v>
      </c>
    </row>
    <row r="88" ht="15.75" customHeight="1">
      <c r="A88" s="83">
        <v>40.0</v>
      </c>
      <c r="B88" s="83">
        <v>320.0</v>
      </c>
      <c r="C88" s="83">
        <v>500.0</v>
      </c>
      <c r="D88" s="83">
        <v>580.0</v>
      </c>
      <c r="E88" s="77"/>
      <c r="F88" s="83">
        <v>40.0</v>
      </c>
      <c r="G88" s="83">
        <v>320.0</v>
      </c>
      <c r="H88" s="83">
        <v>500.0</v>
      </c>
      <c r="I88" s="83">
        <v>580.0</v>
      </c>
    </row>
    <row r="89" ht="15.75" customHeight="1">
      <c r="A89" s="83">
        <v>45.0</v>
      </c>
      <c r="B89" s="83">
        <v>290.0</v>
      </c>
      <c r="C89" s="83">
        <v>450.0</v>
      </c>
      <c r="D89" s="83">
        <v>510.0</v>
      </c>
      <c r="E89" s="77"/>
      <c r="F89" s="83">
        <v>45.0</v>
      </c>
      <c r="G89" s="83">
        <v>290.0</v>
      </c>
      <c r="H89" s="83">
        <v>450.0</v>
      </c>
      <c r="I89" s="83">
        <v>510.0</v>
      </c>
    </row>
    <row r="90" ht="15.75" customHeight="1">
      <c r="A90" s="83">
        <v>50.0</v>
      </c>
      <c r="B90" s="83">
        <v>260.0</v>
      </c>
      <c r="C90" s="83">
        <v>400.0</v>
      </c>
      <c r="D90" s="83">
        <v>450.0</v>
      </c>
      <c r="E90" s="77"/>
      <c r="F90" s="83">
        <v>50.0</v>
      </c>
      <c r="G90" s="83">
        <v>260.0</v>
      </c>
      <c r="H90" s="83">
        <v>400.0</v>
      </c>
      <c r="I90" s="83">
        <v>450.0</v>
      </c>
    </row>
    <row r="91" ht="15.75" customHeight="1">
      <c r="A91" s="83">
        <v>60.0</v>
      </c>
      <c r="B91" s="83">
        <v>230.0</v>
      </c>
      <c r="C91" s="83">
        <v>350.0</v>
      </c>
      <c r="D91" s="83">
        <v>410.0</v>
      </c>
      <c r="E91" s="77"/>
      <c r="F91" s="83">
        <v>60.0</v>
      </c>
      <c r="G91" s="83">
        <v>230.0</v>
      </c>
      <c r="H91" s="83">
        <v>350.0</v>
      </c>
      <c r="I91" s="83">
        <v>410.0</v>
      </c>
    </row>
    <row r="92" ht="15.75" customHeight="1">
      <c r="A92" s="83">
        <v>70.0</v>
      </c>
      <c r="B92" s="83">
        <v>200.0</v>
      </c>
      <c r="C92" s="83">
        <v>250.0</v>
      </c>
      <c r="D92" s="83">
        <v>370.0</v>
      </c>
      <c r="E92" s="77"/>
      <c r="F92" s="83">
        <v>70.0</v>
      </c>
      <c r="G92" s="83">
        <v>200.0</v>
      </c>
      <c r="H92" s="83">
        <v>250.0</v>
      </c>
      <c r="I92" s="83">
        <v>370.0</v>
      </c>
    </row>
    <row r="93" ht="15.75" customHeight="1">
      <c r="A93" s="83">
        <v>80.0</v>
      </c>
      <c r="B93" s="83">
        <v>200.0</v>
      </c>
      <c r="C93" s="83">
        <v>240.0</v>
      </c>
      <c r="D93" s="83">
        <v>330.0</v>
      </c>
      <c r="E93" s="77"/>
      <c r="F93" s="83">
        <v>80.0</v>
      </c>
      <c r="G93" s="83">
        <v>200.0</v>
      </c>
      <c r="H93" s="83">
        <v>240.0</v>
      </c>
      <c r="I93" s="83">
        <v>330.0</v>
      </c>
    </row>
    <row r="94" ht="15.75" customHeight="1">
      <c r="A94" s="83">
        <v>90.0</v>
      </c>
      <c r="B94" s="83">
        <v>200.0</v>
      </c>
      <c r="C94" s="83">
        <v>230.0</v>
      </c>
      <c r="D94" s="83">
        <v>290.0</v>
      </c>
      <c r="E94" s="77"/>
      <c r="F94" s="83">
        <v>90.0</v>
      </c>
      <c r="G94" s="83">
        <v>200.0</v>
      </c>
      <c r="H94" s="83">
        <v>230.0</v>
      </c>
      <c r="I94" s="83">
        <v>290.0</v>
      </c>
    </row>
    <row r="95" ht="15.75" customHeight="1">
      <c r="A95" s="83">
        <v>100.0</v>
      </c>
      <c r="B95" s="83">
        <v>200.0</v>
      </c>
      <c r="C95" s="83">
        <v>220.0</v>
      </c>
      <c r="D95" s="83">
        <v>250.0</v>
      </c>
      <c r="E95" s="77"/>
      <c r="F95" s="83">
        <v>100.0</v>
      </c>
      <c r="G95" s="83">
        <v>200.0</v>
      </c>
      <c r="H95" s="83">
        <v>220.0</v>
      </c>
      <c r="I95" s="83">
        <v>250.0</v>
      </c>
    </row>
    <row r="96" ht="15.75" customHeight="1">
      <c r="A96" s="83">
        <v>150.0</v>
      </c>
      <c r="B96" s="83">
        <v>150.0</v>
      </c>
      <c r="C96" s="83">
        <v>170.0</v>
      </c>
      <c r="D96" s="83">
        <v>234.0</v>
      </c>
      <c r="E96" s="77"/>
      <c r="F96" s="83">
        <v>150.0</v>
      </c>
      <c r="G96" s="83">
        <v>150.0</v>
      </c>
      <c r="H96" s="83">
        <v>170.0</v>
      </c>
      <c r="I96" s="83">
        <v>234.0</v>
      </c>
    </row>
    <row r="97" ht="15.75" customHeight="1">
      <c r="A97" s="83">
        <v>200.0</v>
      </c>
      <c r="B97" s="83">
        <v>125.0</v>
      </c>
      <c r="C97" s="83">
        <v>150.0</v>
      </c>
      <c r="D97" s="83">
        <v>218.0</v>
      </c>
      <c r="E97" s="77"/>
      <c r="F97" s="83">
        <v>200.0</v>
      </c>
      <c r="G97" s="83">
        <v>125.0</v>
      </c>
      <c r="H97" s="83">
        <v>150.0</v>
      </c>
      <c r="I97" s="83">
        <v>218.0</v>
      </c>
    </row>
    <row r="98" ht="15.75" customHeight="1">
      <c r="A98" s="83">
        <v>250.0</v>
      </c>
      <c r="B98" s="83">
        <v>110.0</v>
      </c>
      <c r="C98" s="83">
        <v>130.0</v>
      </c>
      <c r="D98" s="83">
        <v>202.0</v>
      </c>
      <c r="E98" s="77"/>
      <c r="F98" s="83">
        <v>250.0</v>
      </c>
      <c r="G98" s="83">
        <v>110.0</v>
      </c>
      <c r="H98" s="83">
        <v>130.0</v>
      </c>
      <c r="I98" s="83">
        <v>202.0</v>
      </c>
    </row>
    <row r="99" ht="15.75" customHeight="1">
      <c r="A99" s="83">
        <v>300.0</v>
      </c>
      <c r="B99" s="83">
        <v>90.0</v>
      </c>
      <c r="C99" s="83">
        <v>110.0</v>
      </c>
      <c r="D99" s="83">
        <v>186.0</v>
      </c>
      <c r="E99" s="77"/>
      <c r="F99" s="83">
        <v>300.0</v>
      </c>
      <c r="G99" s="83">
        <v>90.0</v>
      </c>
      <c r="H99" s="83">
        <v>110.0</v>
      </c>
      <c r="I99" s="83">
        <v>186.0</v>
      </c>
    </row>
    <row r="100" ht="15.75" customHeight="1">
      <c r="A100" s="83">
        <v>350.0</v>
      </c>
      <c r="B100" s="83">
        <v>80.0</v>
      </c>
      <c r="C100" s="83">
        <v>100.0</v>
      </c>
      <c r="D100" s="83">
        <v>170.0</v>
      </c>
      <c r="E100" s="77"/>
      <c r="F100" s="83">
        <v>350.0</v>
      </c>
      <c r="G100" s="83">
        <v>80.0</v>
      </c>
      <c r="H100" s="83">
        <v>100.0</v>
      </c>
      <c r="I100" s="83">
        <v>170.0</v>
      </c>
    </row>
    <row r="101" ht="15.75" customHeight="1">
      <c r="A101" s="83">
        <v>400.0</v>
      </c>
      <c r="B101" s="83">
        <v>70.0</v>
      </c>
      <c r="C101" s="83">
        <v>90.0</v>
      </c>
      <c r="D101" s="83">
        <v>154.0</v>
      </c>
      <c r="E101" s="77"/>
      <c r="F101" s="83">
        <v>400.0</v>
      </c>
      <c r="G101" s="83">
        <v>70.0</v>
      </c>
      <c r="H101" s="83">
        <v>90.0</v>
      </c>
      <c r="I101" s="83">
        <v>154.0</v>
      </c>
    </row>
    <row r="102" ht="15.75" customHeight="1">
      <c r="A102" s="83">
        <v>450.0</v>
      </c>
      <c r="B102" s="83">
        <v>67.0</v>
      </c>
      <c r="C102" s="83">
        <v>85.0</v>
      </c>
      <c r="D102" s="83">
        <v>138.0</v>
      </c>
      <c r="E102" s="77"/>
      <c r="F102" s="83">
        <v>450.0</v>
      </c>
      <c r="G102" s="83">
        <v>67.0</v>
      </c>
      <c r="H102" s="83">
        <v>85.0</v>
      </c>
      <c r="I102" s="83">
        <v>138.0</v>
      </c>
    </row>
    <row r="103" ht="15.75" customHeight="1">
      <c r="A103" s="83">
        <v>500.0</v>
      </c>
      <c r="B103" s="83">
        <v>63.0</v>
      </c>
      <c r="C103" s="83">
        <v>80.0</v>
      </c>
      <c r="D103" s="83">
        <v>120.0</v>
      </c>
      <c r="E103" s="77"/>
      <c r="F103" s="83">
        <v>500.0</v>
      </c>
      <c r="G103" s="83">
        <v>63.0</v>
      </c>
      <c r="H103" s="83">
        <v>80.0</v>
      </c>
      <c r="I103" s="83">
        <v>120.0</v>
      </c>
    </row>
    <row r="104" ht="15.75" customHeight="1">
      <c r="A104" s="83">
        <v>600.0</v>
      </c>
      <c r="B104" s="83">
        <v>58.0</v>
      </c>
      <c r="C104" s="83">
        <v>76.0</v>
      </c>
      <c r="D104" s="83">
        <v>111.0</v>
      </c>
      <c r="E104" s="77"/>
      <c r="F104" s="83">
        <v>600.0</v>
      </c>
      <c r="G104" s="83">
        <v>58.0</v>
      </c>
      <c r="H104" s="83">
        <v>76.0</v>
      </c>
      <c r="I104" s="83">
        <v>111.0</v>
      </c>
    </row>
    <row r="105" ht="15.75" customHeight="1">
      <c r="A105" s="83">
        <v>700.0</v>
      </c>
      <c r="B105" s="83">
        <v>53.0</v>
      </c>
      <c r="C105" s="83">
        <v>72.0</v>
      </c>
      <c r="D105" s="83">
        <v>102.0</v>
      </c>
      <c r="E105" s="77"/>
      <c r="F105" s="83">
        <v>700.0</v>
      </c>
      <c r="G105" s="83">
        <v>53.0</v>
      </c>
      <c r="H105" s="83">
        <v>72.0</v>
      </c>
      <c r="I105" s="83">
        <v>102.0</v>
      </c>
    </row>
    <row r="106" ht="15.75" customHeight="1">
      <c r="A106" s="83">
        <v>800.0</v>
      </c>
      <c r="B106" s="83">
        <v>48.0</v>
      </c>
      <c r="C106" s="83">
        <v>68.0</v>
      </c>
      <c r="D106" s="83">
        <v>93.0</v>
      </c>
      <c r="E106" s="77"/>
      <c r="F106" s="83">
        <v>800.0</v>
      </c>
      <c r="G106" s="83">
        <v>48.0</v>
      </c>
      <c r="H106" s="83">
        <v>68.0</v>
      </c>
      <c r="I106" s="83">
        <v>93.0</v>
      </c>
    </row>
    <row r="107" ht="15.75" customHeight="1">
      <c r="A107" s="83">
        <v>900.0</v>
      </c>
      <c r="B107" s="83">
        <v>43.0</v>
      </c>
      <c r="C107" s="83">
        <v>64.0</v>
      </c>
      <c r="D107" s="83">
        <v>84.0</v>
      </c>
      <c r="E107" s="77"/>
      <c r="F107" s="83">
        <v>900.0</v>
      </c>
      <c r="G107" s="83">
        <v>43.0</v>
      </c>
      <c r="H107" s="83">
        <v>64.0</v>
      </c>
      <c r="I107" s="83">
        <v>84.0</v>
      </c>
    </row>
    <row r="108" ht="15.75" customHeight="1">
      <c r="A108" s="83">
        <v>1000.0</v>
      </c>
      <c r="B108" s="83">
        <v>40.0</v>
      </c>
      <c r="C108" s="83">
        <v>60.0</v>
      </c>
      <c r="D108" s="83">
        <v>75.0</v>
      </c>
      <c r="E108" s="77"/>
      <c r="F108" s="83">
        <v>1000.0</v>
      </c>
      <c r="G108" s="83">
        <v>40.0</v>
      </c>
      <c r="H108" s="83">
        <v>60.0</v>
      </c>
      <c r="I108" s="83">
        <v>75.0</v>
      </c>
    </row>
    <row r="109" ht="15.75" customHeight="1">
      <c r="A109" s="83">
        <v>1200.0</v>
      </c>
      <c r="B109" s="83">
        <v>39.0</v>
      </c>
      <c r="C109" s="83">
        <v>58.0</v>
      </c>
      <c r="D109" s="83">
        <v>73.0</v>
      </c>
      <c r="E109" s="77"/>
      <c r="F109" s="83">
        <v>1200.0</v>
      </c>
      <c r="G109" s="83">
        <v>39.0</v>
      </c>
      <c r="H109" s="83">
        <v>58.0</v>
      </c>
      <c r="I109" s="83">
        <v>73.0</v>
      </c>
    </row>
    <row r="110" ht="15.75" customHeight="1">
      <c r="A110" s="83">
        <v>1400.0</v>
      </c>
      <c r="B110" s="83">
        <v>39.0</v>
      </c>
      <c r="C110" s="83">
        <v>58.0</v>
      </c>
      <c r="D110" s="83">
        <v>71.0</v>
      </c>
      <c r="E110" s="77"/>
      <c r="F110" s="83">
        <v>1400.0</v>
      </c>
      <c r="G110" s="83">
        <v>39.0</v>
      </c>
      <c r="H110" s="83">
        <v>58.0</v>
      </c>
      <c r="I110" s="83">
        <v>71.0</v>
      </c>
    </row>
    <row r="111" ht="15.75" customHeight="1">
      <c r="A111" s="83">
        <v>1600.0</v>
      </c>
      <c r="B111" s="83">
        <v>38.0</v>
      </c>
      <c r="C111" s="83">
        <v>56.0</v>
      </c>
      <c r="D111" s="83">
        <v>69.0</v>
      </c>
      <c r="E111" s="77"/>
      <c r="F111" s="83">
        <v>1600.0</v>
      </c>
      <c r="G111" s="83">
        <v>38.0</v>
      </c>
      <c r="H111" s="83">
        <v>56.0</v>
      </c>
      <c r="I111" s="83">
        <v>69.0</v>
      </c>
    </row>
    <row r="112" ht="15.75" customHeight="1">
      <c r="A112" s="83">
        <v>1800.0</v>
      </c>
      <c r="B112" s="83">
        <v>38.0</v>
      </c>
      <c r="C112" s="83">
        <v>56.0</v>
      </c>
      <c r="D112" s="83">
        <v>57.0</v>
      </c>
      <c r="E112" s="77"/>
      <c r="F112" s="83">
        <v>1800.0</v>
      </c>
      <c r="G112" s="83">
        <v>38.0</v>
      </c>
      <c r="H112" s="83">
        <v>56.0</v>
      </c>
      <c r="I112" s="83">
        <v>57.0</v>
      </c>
    </row>
    <row r="113" ht="15.75" customHeight="1">
      <c r="A113" s="83">
        <v>2000.0</v>
      </c>
      <c r="B113" s="83">
        <v>37.0</v>
      </c>
      <c r="C113" s="83">
        <v>55.0</v>
      </c>
      <c r="D113" s="83">
        <v>65.0</v>
      </c>
      <c r="E113" s="77"/>
      <c r="F113" s="83">
        <v>2000.0</v>
      </c>
      <c r="G113" s="83">
        <v>37.0</v>
      </c>
      <c r="H113" s="83">
        <v>55.0</v>
      </c>
      <c r="I113" s="83">
        <v>65.0</v>
      </c>
    </row>
    <row r="114" ht="15.75" customHeight="1">
      <c r="A114" s="83">
        <v>2500.0</v>
      </c>
      <c r="B114" s="83">
        <v>34.0</v>
      </c>
      <c r="C114" s="83">
        <v>51.0</v>
      </c>
      <c r="D114" s="83">
        <v>61.0</v>
      </c>
      <c r="E114" s="77"/>
      <c r="F114" s="83">
        <v>2500.0</v>
      </c>
      <c r="G114" s="83">
        <v>34.0</v>
      </c>
      <c r="H114" s="83">
        <v>51.0</v>
      </c>
      <c r="I114" s="83">
        <v>61.0</v>
      </c>
    </row>
    <row r="115" ht="15.75" customHeight="1">
      <c r="A115" s="83">
        <v>3000.0</v>
      </c>
      <c r="B115" s="83">
        <v>31.0</v>
      </c>
      <c r="C115" s="83">
        <v>47.0</v>
      </c>
      <c r="D115" s="83">
        <v>57.0</v>
      </c>
      <c r="E115" s="77"/>
      <c r="F115" s="83">
        <v>3000.0</v>
      </c>
      <c r="G115" s="83">
        <v>31.0</v>
      </c>
      <c r="H115" s="83">
        <v>47.0</v>
      </c>
      <c r="I115" s="83">
        <v>57.0</v>
      </c>
    </row>
    <row r="116" ht="15.75" customHeight="1">
      <c r="A116" s="83">
        <v>3500.0</v>
      </c>
      <c r="B116" s="83">
        <v>28.0</v>
      </c>
      <c r="C116" s="83">
        <v>43.0</v>
      </c>
      <c r="D116" s="83">
        <v>53.0</v>
      </c>
      <c r="E116" s="77"/>
      <c r="F116" s="83">
        <v>3500.0</v>
      </c>
      <c r="G116" s="83">
        <v>28.0</v>
      </c>
      <c r="H116" s="83">
        <v>43.0</v>
      </c>
      <c r="I116" s="83">
        <v>53.0</v>
      </c>
    </row>
    <row r="117" ht="15.75" customHeight="1">
      <c r="A117" s="83">
        <v>4000.0</v>
      </c>
      <c r="B117" s="83">
        <v>25.0</v>
      </c>
      <c r="C117" s="83">
        <v>39.0</v>
      </c>
      <c r="D117" s="83">
        <v>49.0</v>
      </c>
      <c r="E117" s="77"/>
      <c r="F117" s="83">
        <v>4000.0</v>
      </c>
      <c r="G117" s="83">
        <v>25.0</v>
      </c>
      <c r="H117" s="83">
        <v>39.0</v>
      </c>
      <c r="I117" s="83">
        <v>49.0</v>
      </c>
    </row>
    <row r="118" ht="15.75" customHeight="1">
      <c r="A118" s="83">
        <v>4500.0</v>
      </c>
      <c r="B118" s="83">
        <v>22.0</v>
      </c>
      <c r="C118" s="83">
        <v>37.0</v>
      </c>
      <c r="D118" s="83">
        <v>45.0</v>
      </c>
      <c r="E118" s="77"/>
      <c r="F118" s="83">
        <v>4500.0</v>
      </c>
      <c r="G118" s="83">
        <v>22.0</v>
      </c>
      <c r="H118" s="83">
        <v>37.0</v>
      </c>
      <c r="I118" s="83">
        <v>45.0</v>
      </c>
    </row>
    <row r="119" ht="15.75" customHeight="1">
      <c r="A119" s="83">
        <v>5000.0</v>
      </c>
      <c r="B119" s="83">
        <v>30.0</v>
      </c>
      <c r="C119" s="83">
        <v>35.0</v>
      </c>
      <c r="D119" s="83">
        <v>40.0</v>
      </c>
      <c r="E119" s="77"/>
      <c r="F119" s="83">
        <v>5000.0</v>
      </c>
      <c r="G119" s="83">
        <v>30.0</v>
      </c>
      <c r="H119" s="83">
        <v>35.0</v>
      </c>
      <c r="I119" s="83">
        <v>40.0</v>
      </c>
    </row>
    <row r="120" ht="15.75" customHeight="1">
      <c r="A120" s="83">
        <v>100000.0</v>
      </c>
      <c r="B120" s="83">
        <v>30.0</v>
      </c>
      <c r="C120" s="83">
        <v>35.0</v>
      </c>
      <c r="D120" s="83">
        <v>40.0</v>
      </c>
      <c r="E120" s="77"/>
      <c r="F120" s="83">
        <v>100000.0</v>
      </c>
      <c r="G120" s="83">
        <v>30.0</v>
      </c>
      <c r="H120" s="83">
        <v>35.0</v>
      </c>
      <c r="I120" s="83">
        <v>40.0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6:P6"/>
    <mergeCell ref="A20:P20"/>
    <mergeCell ref="A38:I38"/>
    <mergeCell ref="A49:I49"/>
    <mergeCell ref="A58:I58"/>
    <mergeCell ref="A71:D71"/>
    <mergeCell ref="F71:I71"/>
  </mergeCells>
  <drawing r:id="rId1"/>
</worksheet>
</file>